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Spinrise\Docs\Report\"/>
    </mc:Choice>
  </mc:AlternateContent>
  <xr:revisionPtr revIDLastSave="0" documentId="13_ncr:1_{AC4A5262-9965-4A21-9661-2A66EA988D15}" xr6:coauthVersionLast="47" xr6:coauthVersionMax="47" xr10:uidLastSave="{00000000-0000-0000-0000-000000000000}"/>
  <bookViews>
    <workbookView xWindow="-108" yWindow="-108" windowWidth="23256" windowHeight="12456" tabRatio="500" firstSheet="2" activeTab="2" xr2:uid="{00000000-000D-0000-FFFF-FFFF00000000}"/>
  </bookViews>
  <sheets>
    <sheet name="📋 HOW TO USE" sheetId="1" r:id="rId1"/>
    <sheet name="PM – Project Manager" sheetId="2" r:id="rId2"/>
    <sheet name="DEV – Developer" sheetId="3" r:id="rId3"/>
    <sheet name="IST – Support &amp; Testing"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26" i="3" l="1"/>
  <c r="E23" i="3"/>
  <c r="G76" i="4"/>
  <c r="A76" i="4"/>
  <c r="E23" i="4"/>
  <c r="E18" i="4"/>
  <c r="E26" i="4" s="1"/>
  <c r="G76" i="2"/>
  <c r="A76" i="2"/>
  <c r="E23" i="2"/>
  <c r="E18" i="2"/>
  <c r="E26" i="2" s="1"/>
  <c r="E24" i="3" l="1"/>
  <c r="E24" i="4"/>
  <c r="E24" i="2"/>
</calcChain>
</file>

<file path=xl/sharedStrings.xml><?xml version="1.0" encoding="utf-8"?>
<sst xmlns="http://schemas.openxmlformats.org/spreadsheetml/2006/main" count="414" uniqueCount="214">
  <si>
    <t>KALSOFTE ERP  ·  MONTHLY WORK SUMMARY TEMPLATE  ·  TEAM USAGE GUIDE</t>
  </si>
  <si>
    <t>SUBMISSION RULE</t>
  </si>
  <si>
    <t>WHO FILLS WHICH SHEET?</t>
  </si>
  <si>
    <t>PM – Project Manager</t>
  </si>
  <si>
    <t>PM Saravanan</t>
  </si>
  <si>
    <t>DEV Team – Developer</t>
  </si>
  <si>
    <t>TL-Dev · VB Developers · Full-Stack &amp; Jr. Web Devs</t>
  </si>
  <si>
    <t>IST Team – Support</t>
  </si>
  <si>
    <t>TL-IST · IST Members (incl. Vertical SMEs)</t>
  </si>
  <si>
    <t>HOW TO FILL – SECTION B (ATTENDANCE)</t>
  </si>
  <si>
    <t>B1</t>
  </si>
  <si>
    <t>B2</t>
  </si>
  <si>
    <t>Count ALL Sundays + public/gazette holidays in that month</t>
  </si>
  <si>
    <t>B3</t>
  </si>
  <si>
    <t>AUTO-CALCULATED  (B1 – B2).  Do not edit.</t>
  </si>
  <si>
    <t>B4</t>
  </si>
  <si>
    <t>Enter actual days you worked  (present days)</t>
  </si>
  <si>
    <t>B5</t>
  </si>
  <si>
    <t>Enter approved leaves taken  (PL / CL / ML)</t>
  </si>
  <si>
    <t>B6</t>
  </si>
  <si>
    <t>Enter LOP (Loss of Pay) or unauthorised absence days</t>
  </si>
  <si>
    <t>B7</t>
  </si>
  <si>
    <t>Enter Compensatory Off availed (if any)</t>
  </si>
  <si>
    <t>B8</t>
  </si>
  <si>
    <t>AUTO-CALCULATED  (B4 – B6).  Salary eligible days.</t>
  </si>
  <si>
    <t>B9</t>
  </si>
  <si>
    <t>AUTO-CALCULATED  (B4 ÷ B3).  Attendance percentage.</t>
  </si>
  <si>
    <t>CHECK ROW</t>
  </si>
  <si>
    <t>Must show  ✔ OK  before submitting.  If  ✖ MISMATCH  shows, review B1–B6.</t>
  </si>
  <si>
    <t>HOW TO FILL – TASK LOG</t>
  </si>
  <si>
    <t>One row per task</t>
  </si>
  <si>
    <t>Each CR, ticket, support call, meeting, development item = one row</t>
  </si>
  <si>
    <t>ERP Initiative</t>
  </si>
  <si>
    <t>ERP 7.4 = legacy VB6 ERP  |  SPINRISE = web migration project  |  SPINNOVA = AI framework  |  Internal = HR/admin/training</t>
  </si>
  <si>
    <t>Issue Type</t>
  </si>
  <si>
    <t>Use dropdown: Operational / Corrective CR / Requirement / Implementation / Testing / Documentation / Meeting</t>
  </si>
  <si>
    <t>Resolution Status</t>
  </si>
  <si>
    <t>Use dropdown: Completed / In Progress / Pending / Carry Forward</t>
  </si>
  <si>
    <t>Complexity</t>
  </si>
  <si>
    <t>Low = &lt;1 hr  |  Medium = 1–4 hrs  |  High = &gt;4 hrs or architectural</t>
  </si>
  <si>
    <t>AI Tool Used</t>
  </si>
  <si>
    <t>Name the AI tool used (Claude / ChatGPT / Gemini etc.) or None</t>
  </si>
  <si>
    <t>SPINRISE STAGE GUIDE</t>
  </si>
  <si>
    <t>FSD Draft  →  TL Review  →  CEO Approval  →  Dev In Progress  →  IST Testing  →  CEO Demo  →  Deployed</t>
  </si>
  <si>
    <t>SELF-APPRAISAL</t>
  </si>
  <si>
    <t>Mandatory section. Minimum 2 lines per field. This is YOUR professional growth record.</t>
  </si>
  <si>
    <t>IMPORTANT</t>
  </si>
  <si>
    <t>Do NOT break merge cells or delete rows. Add rows inside the task log table if needed.</t>
  </si>
  <si>
    <t>KALSOFTE ERP  |  MONTHLY WORK SUMMARY</t>
  </si>
  <si>
    <t>ROLE: PROJECT MANAGER  ·  ERP Support · Implementation · BD · SpinRise · SpinNova</t>
  </si>
  <si>
    <t>SECTION A  ·  EMPLOYEE &amp; SUBMISSION DETAILS</t>
  </si>
  <si>
    <t>Employee Name</t>
  </si>
  <si>
    <t>Employee ID / Code</t>
  </si>
  <si>
    <t>Designation</t>
  </si>
  <si>
    <t>Vertical / Domain</t>
  </si>
  <si>
    <t>Spinning ERP  /  Paper Mill ERP  /  Both</t>
  </si>
  <si>
    <t>Reporting To</t>
  </si>
  <si>
    <t>CEO  /  PM Saravanan</t>
  </si>
  <si>
    <t>Year &amp; Month</t>
  </si>
  <si>
    <t>YYYY-MM</t>
  </si>
  <si>
    <t>Date of Submission</t>
  </si>
  <si>
    <t>DD-MMM-YYYY  (due: 3rd of next month)</t>
  </si>
  <si>
    <t>SECTION B  ·  MONTHLY ATTENDANCE SUMMARY</t>
  </si>
  <si>
    <t>Metric</t>
  </si>
  <si>
    <t>Value</t>
  </si>
  <si>
    <t>Notes / Auto-Calculation</t>
  </si>
  <si>
    <t>(B1)  Total Days in the Month</t>
  </si>
  <si>
    <t>e.g. 31 for March</t>
  </si>
  <si>
    <t>(B2)  Weekly Off Days  (All Sundays + Public Holidays)</t>
  </si>
  <si>
    <t>Count all Sundays + gazette holidays</t>
  </si>
  <si>
    <t>(B3)  Office Working Days  [AUTO]</t>
  </si>
  <si>
    <t>AUTO:  B1 – B2</t>
  </si>
  <si>
    <t>(B4)  Days Present  (Actual Days Worked)</t>
  </si>
  <si>
    <t>Days you physically / remotely worked</t>
  </si>
  <si>
    <t>(B5)  Authorised Leave Taken  (PL / CL / ML)</t>
  </si>
  <si>
    <t>Approved leaves only</t>
  </si>
  <si>
    <t>(B6)  LOP Days  (Loss of Pay / Unauthorised Absence)</t>
  </si>
  <si>
    <t>Unapproved absence or excess leave</t>
  </si>
  <si>
    <t>(B7)  Comp-Off Availed</t>
  </si>
  <si>
    <t>Compensatory off taken</t>
  </si>
  <si>
    <t>(B8)  Salary Eligible Days  [AUTO: B4 – B6]</t>
  </si>
  <si>
    <t>AUTO:  B4 – B6  (enter B4 &amp; B6 first)</t>
  </si>
  <si>
    <t>(B9)  Attendance Rate  [AUTO: B4 ÷ B3]</t>
  </si>
  <si>
    <t>AUTO:  B4 / B3</t>
  </si>
  <si>
    <t>(B10) Average Hours / Day</t>
  </si>
  <si>
    <t>Approx daily hours (include extra hours)</t>
  </si>
  <si>
    <t>✔  CROSS-CHECK:  Month Days = B3 + B2 + B5 + B6  (Must show OK)</t>
  </si>
  <si>
    <t>This cell must show  ✔ OK  before you submit the summary to CEO</t>
  </si>
  <si>
    <t>SECTION C  ·  MONTHLY KPI SNAPSHOT  (fill manually or carry from task log)</t>
  </si>
  <si>
    <t>Total Tickets / Tasks Managed</t>
  </si>
  <si>
    <t>No. of On-Site Visits (Customer)</t>
  </si>
  <si>
    <t>Remote Demos / Pre-Sales Meetings</t>
  </si>
  <si>
    <t>Offers / Proposals Sent</t>
  </si>
  <si>
    <t>New Leads Generated</t>
  </si>
  <si>
    <t>SpinRise Coordination Tasks</t>
  </si>
  <si>
    <t>SpinNova Coordination Tasks</t>
  </si>
  <si>
    <t>Implementation Projects Active</t>
  </si>
  <si>
    <t>SECTION D  ·  CUSTOMER SUPPORT, IMPLEMENTATION &amp; COORDINATION LOG</t>
  </si>
  <si>
    <t>S.No</t>
  </si>
  <si>
    <t>Customer / Project</t>
  </si>
  <si>
    <t>Module</t>
  </si>
  <si>
    <t>CR / Ticket No.</t>
  </si>
  <si>
    <t>Issue / Task Type</t>
  </si>
  <si>
    <t>Effort
(hrs)</t>
  </si>
  <si>
    <t>Description of Work Done  (be specific)</t>
  </si>
  <si>
    <t>Resolution
Status</t>
  </si>
  <si>
    <t>AI Tool
Used?</t>
  </si>
  <si>
    <t>SECTION E  ·  ON-SITE VISITS &amp; FIELD ACTIVITIES</t>
  </si>
  <si>
    <t>Activity Type</t>
  </si>
  <si>
    <t>Date(s)</t>
  </si>
  <si>
    <t>Outcome / Key Discussions</t>
  </si>
  <si>
    <t>Status</t>
  </si>
  <si>
    <t>SECTION  ·  BUSINESS DEVELOPMENT &amp; PRE-SALES ACTIVITY LOG</t>
  </si>
  <si>
    <t>Prospect / Customer</t>
  </si>
  <si>
    <t>Vertical</t>
  </si>
  <si>
    <t>Activity Description</t>
  </si>
  <si>
    <t>Stage</t>
  </si>
  <si>
    <t>Offer Sent?</t>
  </si>
  <si>
    <t>Demo Done?</t>
  </si>
  <si>
    <t>Next Action</t>
  </si>
  <si>
    <t>SECTION  ·  REPORTING DISCIPLINE COMPLIANCE</t>
  </si>
  <si>
    <t>Report / Deliverable Type</t>
  </si>
  <si>
    <t>Frequency</t>
  </si>
  <si>
    <t>Target</t>
  </si>
  <si>
    <t>Submitted</t>
  </si>
  <si>
    <t>On Time?</t>
  </si>
  <si>
    <t>Remarks</t>
  </si>
  <si>
    <t>Daily Work Log  (Pulse360 / Logsheet entry)</t>
  </si>
  <si>
    <t>Daily</t>
  </si>
  <si>
    <t>Weekly Task Plan</t>
  </si>
  <si>
    <t>Weekly</t>
  </si>
  <si>
    <t>Pending CR Status Report</t>
  </si>
  <si>
    <t>Live Implementation Project Status</t>
  </si>
  <si>
    <t>Project / Implementation Schedule Update</t>
  </si>
  <si>
    <t>Monthly Work Summary  (this document)</t>
  </si>
  <si>
    <t>Monthly</t>
  </si>
  <si>
    <t>SECTION  ·  SKILL ENHANCEMENT &amp; PROFESSIONAL DEVELOPMENT</t>
  </si>
  <si>
    <t>Learning Area</t>
  </si>
  <si>
    <t>Course / Activity</t>
  </si>
  <si>
    <t>Platform / Source</t>
  </si>
  <si>
    <t>Hours
Invested</t>
  </si>
  <si>
    <t>How Applied to Work?</t>
  </si>
  <si>
    <t>SECTION  ·  MONTHLY SELF-REFLECTION &amp; PERFORMANCE APPRAISAL</t>
  </si>
  <si>
    <t>Top 3 Key Accomplishments this Month</t>
  </si>
  <si>
    <t>Challenges Faced &amp; How Resolved</t>
  </si>
  <si>
    <t>What I Should Have Done Better / Gaps</t>
  </si>
  <si>
    <t>Support or Resources Needed from Management</t>
  </si>
  <si>
    <t>My Goals for Next Month  (specific &amp; measurable)</t>
  </si>
  <si>
    <t>Employee Signature &amp; Date</t>
  </si>
  <si>
    <t>CEO Review &amp; Acknowledgement  (date)</t>
  </si>
  <si>
    <t>ROLE: DEVELOPER (VB / Web)  ·  ERP 7.4 · SpinRise Migration · SpinNova · Feature Enhancements</t>
  </si>
  <si>
    <t>Total CRs Completed (Forms + Reports + Fixes)</t>
  </si>
  <si>
    <t>SpinRise Modules In Progress</t>
  </si>
  <si>
    <t>Total Effort Hours</t>
  </si>
  <si>
    <t>FSDs Drafted / Submitted</t>
  </si>
  <si>
    <t>FSDs Approved by CEO</t>
  </si>
  <si>
    <t>DB Scripts / Corrections</t>
  </si>
  <si>
    <t>Code Reviews Done</t>
  </si>
  <si>
    <t>AI Tool Usages (no. of sessions)</t>
  </si>
  <si>
    <t>SECTION D  ·  DEVELOPMENT TASK LOG  (CRs · FSDs · Fixes · SpinRise · SpinNova)</t>
  </si>
  <si>
    <t>CR / FSD Ref</t>
  </si>
  <si>
    <t>Task Type</t>
  </si>
  <si>
    <t>Description / Scope</t>
  </si>
  <si>
    <t>Stage
Completed</t>
  </si>
  <si>
    <t>Review
Status</t>
  </si>
  <si>
    <t>AI Tool
Used</t>
  </si>
  <si>
    <t>SECTION E  ·  SPINRISE / SPINNOVA MODULE PROGRESS TRACKER</t>
  </si>
  <si>
    <t>Module Ref</t>
  </si>
  <si>
    <t>Module Name</t>
  </si>
  <si>
    <t>FSD Version</t>
  </si>
  <si>
    <t>Current Stage</t>
  </si>
  <si>
    <t>Target Date</t>
  </si>
  <si>
    <t>Actual / Est. Date</t>
  </si>
  <si>
    <t>SECTION F  ·  INTERNAL MEETINGS &amp; ACTIVITIES</t>
  </si>
  <si>
    <t>ROLE: IST (Implementation · Support · Testing)  ·  ERP 7.4 · SpinRise IST · SpinNova IST</t>
  </si>
  <si>
    <t>Total Tickets / Tasks Handled</t>
  </si>
  <si>
    <t>Total Tickets Resolved (Completed)</t>
  </si>
  <si>
    <t>Carry Forward / Pending</t>
  </si>
  <si>
    <t>Total Effort Hours (approx.)</t>
  </si>
  <si>
    <t>No. of On-Site Visits</t>
  </si>
  <si>
    <t>SpinRise IST Tasks</t>
  </si>
  <si>
    <t>SpinNova IST Tasks</t>
  </si>
  <si>
    <t>Customers Served</t>
  </si>
  <si>
    <t>SECTION D  ·  ERP SUPPORT &amp; IMPLEMENTATION TASK LOG</t>
  </si>
  <si>
    <t>SECTION F  ·  ON-SITE VISITS &amp; INTERNAL ACTIVITIES</t>
  </si>
  <si>
    <t>Submit on or before the 3rd of every subsequent month to CEO (ceo@kalsofte.com).</t>
  </si>
  <si>
    <t>Enter total calendar days in the month  (e.g., 30 for April)</t>
  </si>
  <si>
    <t>Abinandan</t>
  </si>
  <si>
    <t>Full-Stack Developer</t>
  </si>
  <si>
    <t>Spinrise</t>
  </si>
  <si>
    <t>CEO</t>
  </si>
  <si>
    <t>2026-04</t>
  </si>
  <si>
    <t>Phase-0</t>
  </si>
  <si>
    <t>SPINRISE Platform Foundation</t>
  </si>
  <si>
    <t>Blueprint v4</t>
  </si>
  <si>
    <t>Complete</t>
  </si>
  <si>
    <t>M01-PR</t>
  </si>
  <si>
    <t>Purchase Requisition (PR Form)</t>
  </si>
  <si>
    <t>FSD v2.4</t>
  </si>
  <si>
    <t>In Progress</t>
  </si>
  <si>
    <t>M02-PO</t>
  </si>
  <si>
    <t>RMI Purchase Order</t>
  </si>
  <si>
    <t>FSD v8</t>
  </si>
  <si>
    <t>M01-RPT</t>
  </si>
  <si>
    <t>1. IST revealed 57 failures in 101-step test cycle (44% pass rate). Root cause: several FSD validation rules (qtyind column, ABCFLG req type, serial-no generation) implemented against incorrect assumptions. Resolved by systematic priority sprint — all 14 High items closed by EOD 30 Apr, re-test confirmed PASS.</t>
  </si>
  <si>
    <t>Written unit tests before IST handover — higher test coverage would have caught several of the 57 IST failures at development stage. Should also update task log entries daily rather than retrospectively, and validate DB column names against live schema before writing SPs.</t>
  </si>
  <si>
    <t>Deployed</t>
  </si>
  <si>
    <t>Completed</t>
  </si>
  <si>
    <t>2. Delivered M01 Purchase Requisition end-to-end (ASP.NET Core 8 API + 27 stored procedures + React 18 UI). All 14 High-severity IST bugs fixed by 2 May; on 2 May 2026 passed with 38/40 IST cases PASS.</t>
  </si>
  <si>
    <t>Dev In Progress</t>
  </si>
  <si>
    <t xml:space="preserve">PR Print Report Demo (QuestPDF PDF + EPPlus Excel) </t>
  </si>
  <si>
    <t>2. Deploy M02 RMI PO to JAT DB; complete IST testing for PO form; fix PO dropdown UX (code+name combined field).   3.Deploy  M03 Domestic Sales FSD review and initial development; target IST handover.</t>
  </si>
  <si>
    <t>1. SPINRISE Platform Foundation   Complete — API, JWTAuth, API Integration with Frontend</t>
  </si>
  <si>
    <t>3. Migrated Crystal Reports to modern reporting tools, including QuestPDF and EPPlus.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</si>
</sst>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charset val="1"/>
    </font>
    <font>
      <b/>
      <sz val="13"/>
      <color rgb="FFFFFFFF"/>
      <name val="Arial"/>
      <charset val="1"/>
    </font>
    <font>
      <b/>
      <sz val="9"/>
      <color rgb="FF1F3864"/>
      <name val="Arial"/>
      <charset val="1"/>
    </font>
    <font>
      <sz val="9"/>
      <name val="Arial"/>
      <charset val="1"/>
    </font>
    <font>
      <b/>
      <sz val="9"/>
      <color rgb="FF595959"/>
      <name val="Arial"/>
      <charset val="1"/>
    </font>
    <font>
      <b/>
      <sz val="14"/>
      <color rgb="FFFFFFFF"/>
      <name val="Arial"/>
      <charset val="1"/>
    </font>
    <font>
      <b/>
      <sz val="11"/>
      <color rgb="FFED7D31"/>
      <name val="Arial"/>
      <charset val="1"/>
    </font>
    <font>
      <b/>
      <sz val="10"/>
      <color rgb="FFFFFFFF"/>
      <name val="Arial"/>
      <charset val="1"/>
    </font>
    <font>
      <sz val="9"/>
      <color rgb="FF595959"/>
      <name val="Arial"/>
      <charset val="1"/>
    </font>
    <font>
      <i/>
      <sz val="9"/>
      <color rgb="FF7F7F7F"/>
      <name val="Arial"/>
      <charset val="1"/>
    </font>
    <font>
      <b/>
      <sz val="9"/>
      <color rgb="FFFFFFFF"/>
      <name val="Arial"/>
      <charset val="1"/>
    </font>
    <font>
      <sz val="9"/>
      <color rgb="FF7F7F7F"/>
      <name val="Arial"/>
      <charset val="1"/>
    </font>
    <font>
      <b/>
      <sz val="9"/>
      <color rgb="FF000000"/>
      <name val="Arial"/>
      <charset val="1"/>
    </font>
    <font>
      <b/>
      <sz val="10"/>
      <color rgb="FF000000"/>
      <name val="Arial"/>
      <charset val="1"/>
    </font>
    <font>
      <sz val="9"/>
      <color rgb="FF000000"/>
      <name val="Arial"/>
      <charset val="1"/>
    </font>
    <font>
      <b/>
      <sz val="11"/>
      <color rgb="FFFFC000"/>
      <name val="Arial"/>
      <charset val="1"/>
    </font>
    <font>
      <b/>
      <sz val="11"/>
      <color rgb="FF00B0F0"/>
      <name val="Arial"/>
      <charset val="1"/>
    </font>
  </fonts>
  <fills count="11">
    <fill>
      <patternFill patternType="none"/>
    </fill>
    <fill>
      <patternFill patternType="gray125"/>
    </fill>
    <fill>
      <patternFill patternType="solid">
        <fgColor rgb="FF1F3864"/>
        <bgColor rgb="FF333333"/>
      </patternFill>
    </fill>
    <fill>
      <patternFill patternType="solid">
        <fgColor rgb="FFD9E1F2"/>
        <bgColor rgb="FFE2EFDA"/>
      </patternFill>
    </fill>
    <fill>
      <patternFill patternType="solid">
        <fgColor rgb="FFEEF2FA"/>
        <bgColor rgb="FFF2F2F2"/>
      </patternFill>
    </fill>
    <fill>
      <patternFill patternType="solid">
        <fgColor rgb="FF2E5491"/>
        <bgColor rgb="FF1F3864"/>
      </patternFill>
    </fill>
    <fill>
      <patternFill patternType="solid">
        <fgColor rgb="FFFFFFFF"/>
        <bgColor rgb="FFF2F2F2"/>
      </patternFill>
    </fill>
    <fill>
      <patternFill patternType="solid">
        <fgColor rgb="FFFFFF99"/>
        <bgColor rgb="FFE2EFDA"/>
      </patternFill>
    </fill>
    <fill>
      <patternFill patternType="solid">
        <fgColor rgb="FF4472C4"/>
        <bgColor rgb="FF2E5491"/>
      </patternFill>
    </fill>
    <fill>
      <patternFill patternType="solid">
        <fgColor rgb="FFE2EFDA"/>
        <bgColor rgb="FFF2F2F2"/>
      </patternFill>
    </fill>
    <fill>
      <patternFill patternType="solid">
        <fgColor rgb="FFF2F2F2"/>
        <bgColor rgb="FFEEF2FA"/>
      </patternFill>
    </fill>
  </fills>
  <borders count="6">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top/>
      <bottom style="thin">
        <color rgb="FFBFBFBF"/>
      </bottom>
      <diagonal/>
    </border>
    <border>
      <left/>
      <right/>
      <top/>
      <bottom style="thin">
        <color rgb="FFBFBFBF"/>
      </bottom>
      <diagonal/>
    </border>
    <border>
      <left/>
      <right/>
      <top style="thin">
        <color rgb="FFBFBFBF"/>
      </top>
      <bottom style="thin">
        <color rgb="FFBFBFBF"/>
      </bottom>
      <diagonal/>
    </border>
  </borders>
  <cellStyleXfs count="1">
    <xf numFmtId="0" fontId="0" fillId="0" borderId="0"/>
  </cellStyleXfs>
  <cellXfs count="52">
    <xf numFmtId="0" fontId="0" fillId="0" borderId="0" xfId="0"/>
    <xf numFmtId="0" fontId="2" fillId="3" borderId="2" xfId="0" applyFont="1" applyFill="1" applyBorder="1"/>
    <xf numFmtId="0" fontId="3" fillId="0" borderId="2" xfId="0" applyFont="1" applyBorder="1" applyAlignment="1">
      <alignment horizontal="left" vertical="center" wrapText="1"/>
    </xf>
    <xf numFmtId="0" fontId="0" fillId="0" borderId="2" xfId="0" applyBorder="1"/>
    <xf numFmtId="0" fontId="4" fillId="4" borderId="2" xfId="0" applyFont="1" applyFill="1" applyBorder="1"/>
    <xf numFmtId="0" fontId="0" fillId="6" borderId="2" xfId="0" applyFill="1" applyBorder="1"/>
    <xf numFmtId="0" fontId="10" fillId="5" borderId="2" xfId="0" applyFont="1" applyFill="1" applyBorder="1" applyAlignment="1">
      <alignment horizontal="center" vertical="center" wrapText="1"/>
    </xf>
    <xf numFmtId="0" fontId="14" fillId="10" borderId="2" xfId="0" applyFont="1" applyFill="1" applyBorder="1"/>
    <xf numFmtId="0" fontId="14" fillId="6" borderId="2" xfId="0" applyFont="1" applyFill="1" applyBorder="1"/>
    <xf numFmtId="0" fontId="10" fillId="8" borderId="2" xfId="0" applyFont="1" applyFill="1" applyBorder="1" applyAlignment="1">
      <alignment horizontal="center" vertical="center"/>
    </xf>
    <xf numFmtId="0" fontId="0" fillId="8" borderId="2" xfId="0" applyFill="1" applyBorder="1"/>
    <xf numFmtId="0" fontId="14" fillId="6" borderId="2" xfId="0" applyFont="1" applyFill="1" applyBorder="1" applyAlignment="1">
      <alignment horizontal="center" vertical="center"/>
    </xf>
    <xf numFmtId="0" fontId="14" fillId="6" borderId="2" xfId="0" applyFont="1" applyFill="1" applyBorder="1" applyAlignment="1">
      <alignment horizontal="left" vertical="center"/>
    </xf>
    <xf numFmtId="0" fontId="0" fillId="3" borderId="1" xfId="0" applyFill="1" applyBorder="1"/>
    <xf numFmtId="0" fontId="5" fillId="2" borderId="0" xfId="0" applyFont="1" applyFill="1" applyAlignment="1">
      <alignment horizontal="center" vertical="center"/>
    </xf>
    <xf numFmtId="0" fontId="15" fillId="5" borderId="0" xfId="0" applyFont="1" applyFill="1" applyAlignment="1">
      <alignment horizontal="center" vertical="center"/>
    </xf>
    <xf numFmtId="0" fontId="7" fillId="2" borderId="1" xfId="0" applyFont="1" applyFill="1" applyBorder="1" applyAlignment="1">
      <alignment horizontal="left" vertical="center"/>
    </xf>
    <xf numFmtId="0" fontId="8" fillId="3" borderId="1" xfId="0" applyFont="1" applyFill="1" applyBorder="1" applyAlignment="1">
      <alignment horizontal="left" vertical="center"/>
    </xf>
    <xf numFmtId="0" fontId="9" fillId="4" borderId="1" xfId="0" applyFont="1" applyFill="1" applyBorder="1" applyAlignment="1">
      <alignment horizontal="left" vertical="center"/>
    </xf>
    <xf numFmtId="14" fontId="9" fillId="4" borderId="1" xfId="0" applyNumberFormat="1" applyFont="1" applyFill="1" applyBorder="1" applyAlignment="1">
      <alignment horizontal="left" vertical="center"/>
    </xf>
    <xf numFmtId="0" fontId="10" fillId="5" borderId="1" xfId="0" applyFont="1" applyFill="1" applyBorder="1" applyAlignment="1">
      <alignment horizontal="center" vertical="center"/>
    </xf>
    <xf numFmtId="0" fontId="8" fillId="6" borderId="1" xfId="0" applyFont="1" applyFill="1" applyBorder="1" applyAlignment="1">
      <alignment horizontal="left" vertical="center"/>
    </xf>
    <xf numFmtId="0" fontId="0" fillId="6" borderId="1" xfId="0" applyFill="1" applyBorder="1" applyAlignment="1">
      <alignment horizontal="center" vertical="center"/>
    </xf>
    <xf numFmtId="0" fontId="11" fillId="4" borderId="1" xfId="0" applyFont="1" applyFill="1" applyBorder="1" applyAlignment="1">
      <alignment horizontal="left" vertical="center"/>
    </xf>
    <xf numFmtId="0" fontId="0" fillId="3" borderId="1" xfId="0" applyFill="1" applyBorder="1" applyAlignment="1">
      <alignment horizontal="center" vertical="center"/>
    </xf>
    <xf numFmtId="164" fontId="0" fillId="3" borderId="1" xfId="0" applyNumberFormat="1" applyFill="1" applyBorder="1" applyAlignment="1">
      <alignment horizontal="center" vertical="center"/>
    </xf>
    <xf numFmtId="0" fontId="12" fillId="7" borderId="1" xfId="0" applyFont="1" applyFill="1" applyBorder="1" applyAlignment="1">
      <alignment horizontal="left" vertical="center"/>
    </xf>
    <xf numFmtId="0" fontId="13" fillId="7" borderId="1" xfId="0" applyFont="1" applyFill="1" applyBorder="1" applyAlignment="1">
      <alignment horizontal="center" vertical="center"/>
    </xf>
    <xf numFmtId="0" fontId="8" fillId="7" borderId="1" xfId="0" applyFont="1" applyFill="1" applyBorder="1" applyAlignment="1">
      <alignment horizontal="left" vertical="center"/>
    </xf>
    <xf numFmtId="0" fontId="7" fillId="8" borderId="1" xfId="0" applyFont="1" applyFill="1" applyBorder="1" applyAlignment="1">
      <alignment horizontal="left" vertical="center"/>
    </xf>
    <xf numFmtId="0" fontId="14" fillId="9" borderId="1" xfId="0" applyFont="1" applyFill="1" applyBorder="1" applyAlignment="1">
      <alignment horizontal="center" vertical="center"/>
    </xf>
    <xf numFmtId="0" fontId="10" fillId="5" borderId="1" xfId="0" applyFont="1" applyFill="1" applyBorder="1" applyAlignment="1">
      <alignment horizontal="center" vertical="center" wrapText="1"/>
    </xf>
    <xf numFmtId="0" fontId="14" fillId="10" borderId="2" xfId="0" applyFont="1" applyFill="1" applyBorder="1" applyAlignment="1">
      <alignment horizontal="left" vertical="center" wrapText="1"/>
    </xf>
    <xf numFmtId="0" fontId="14" fillId="6" borderId="2" xfId="0" applyFont="1" applyFill="1" applyBorder="1" applyAlignment="1">
      <alignment horizontal="left" vertical="center" wrapText="1"/>
    </xf>
    <xf numFmtId="0" fontId="14" fillId="10" borderId="2" xfId="0" applyFont="1" applyFill="1" applyBorder="1"/>
    <xf numFmtId="17" fontId="14" fillId="10" borderId="2" xfId="0" applyNumberFormat="1" applyFont="1" applyFill="1" applyBorder="1"/>
    <xf numFmtId="0" fontId="14" fillId="6" borderId="2" xfId="0" applyFont="1" applyFill="1" applyBorder="1"/>
    <xf numFmtId="17" fontId="14" fillId="6" borderId="2" xfId="0" applyNumberFormat="1" applyFont="1" applyFill="1" applyBorder="1"/>
    <xf numFmtId="0" fontId="14" fillId="10" borderId="1" xfId="0" applyFont="1" applyFill="1" applyBorder="1" applyAlignment="1">
      <alignment horizontal="left" vertical="center"/>
    </xf>
    <xf numFmtId="0" fontId="14" fillId="10" borderId="1" xfId="0" applyFont="1" applyFill="1" applyBorder="1" applyAlignment="1">
      <alignment horizontal="center" vertical="center"/>
    </xf>
    <xf numFmtId="0" fontId="14" fillId="6" borderId="1" xfId="0" applyFont="1" applyFill="1" applyBorder="1" applyAlignment="1">
      <alignment horizontal="center" vertical="center"/>
    </xf>
    <xf numFmtId="0" fontId="14" fillId="6" borderId="1" xfId="0" applyFont="1" applyFill="1" applyBorder="1" applyAlignment="1">
      <alignment horizontal="left" vertical="center"/>
    </xf>
    <xf numFmtId="0" fontId="4" fillId="3" borderId="1" xfId="0" applyFont="1" applyFill="1" applyBorder="1" applyAlignment="1">
      <alignment horizontal="left" vertical="top" wrapText="1"/>
    </xf>
    <xf numFmtId="0" fontId="0" fillId="6" borderId="1" xfId="0" applyFill="1" applyBorder="1"/>
    <xf numFmtId="0" fontId="4" fillId="3" borderId="5" xfId="0" applyFont="1" applyFill="1" applyBorder="1" applyAlignment="1">
      <alignment horizontal="left" vertical="top" wrapText="1"/>
    </xf>
    <xf numFmtId="0" fontId="0" fillId="3" borderId="1" xfId="0" applyFill="1" applyBorder="1"/>
    <xf numFmtId="0" fontId="4" fillId="3" borderId="3" xfId="0" applyFont="1" applyFill="1" applyBorder="1" applyAlignment="1">
      <alignment horizontal="left" vertical="top" wrapText="1"/>
    </xf>
    <xf numFmtId="0" fontId="4" fillId="3" borderId="4" xfId="0" applyFont="1" applyFill="1" applyBorder="1" applyAlignment="1">
      <alignment horizontal="left" vertical="top" wrapText="1"/>
    </xf>
    <xf numFmtId="0" fontId="1" fillId="2" borderId="1" xfId="0" applyFont="1" applyFill="1" applyBorder="1" applyAlignment="1">
      <alignment horizontal="center" vertical="center"/>
    </xf>
    <xf numFmtId="0" fontId="6" fillId="5" borderId="0" xfId="0" applyFont="1" applyFill="1" applyAlignment="1">
      <alignment horizontal="center" vertical="center"/>
    </xf>
    <xf numFmtId="0" fontId="10" fillId="8" borderId="2" xfId="0" applyFont="1" applyFill="1" applyBorder="1" applyAlignment="1">
      <alignment horizontal="center" vertical="center"/>
    </xf>
    <xf numFmtId="0" fontId="16" fillId="5"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7030A0"/>
      <rgbColor rgb="FFF2F2F2"/>
      <rgbColor rgb="FFEEF2FA"/>
      <rgbColor rgb="FF660066"/>
      <rgbColor rgb="FFFF8080"/>
      <rgbColor rgb="FF0066CC"/>
      <rgbColor rgb="FFD9E1F2"/>
      <rgbColor rgb="FF000080"/>
      <rgbColor rgb="FFFF00FF"/>
      <rgbColor rgb="FFFFFF00"/>
      <rgbColor rgb="FF00FFFF"/>
      <rgbColor rgb="FF800080"/>
      <rgbColor rgb="FF800000"/>
      <rgbColor rgb="FF008080"/>
      <rgbColor rgb="FF0000FF"/>
      <rgbColor rgb="FF00B0F0"/>
      <rgbColor rgb="FFCCFFFF"/>
      <rgbColor rgb="FFE2EFDA"/>
      <rgbColor rgb="FFFFFF99"/>
      <rgbColor rgb="FF99CCFF"/>
      <rgbColor rgb="FFFF99CC"/>
      <rgbColor rgb="FFCC99FF"/>
      <rgbColor rgb="FFFFCC99"/>
      <rgbColor rgb="FF4472C4"/>
      <rgbColor rgb="FF33CCCC"/>
      <rgbColor rgb="FF99CC00"/>
      <rgbColor rgb="FFFFC000"/>
      <rgbColor rgb="FFFF9900"/>
      <rgbColor rgb="FFED7D31"/>
      <rgbColor rgb="FF595959"/>
      <rgbColor rgb="FF70AD47"/>
      <rgbColor rgb="FF1F3864"/>
      <rgbColor rgb="FF339966"/>
      <rgbColor rgb="FF003300"/>
      <rgbColor rgb="FF333300"/>
      <rgbColor rgb="FF993300"/>
      <rgbColor rgb="FF993366"/>
      <rgbColor rgb="FF2E5491"/>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D33"/>
  <sheetViews>
    <sheetView topLeftCell="B1" zoomScaleNormal="100" workbookViewId="0">
      <pane ySplit="1" topLeftCell="A20" activePane="bottomLeft" state="frozen"/>
      <selection pane="bottomLeft" activeCell="B29" sqref="B29"/>
    </sheetView>
  </sheetViews>
  <sheetFormatPr defaultColWidth="8.6640625" defaultRowHeight="14.4" x14ac:dyDescent="0.3"/>
  <cols>
    <col min="1" max="1" width="7.5546875" customWidth="1"/>
    <col min="2" max="2" width="38.5546875" customWidth="1"/>
    <col min="3" max="3" width="116.21875" customWidth="1"/>
    <col min="4" max="4" width="14" customWidth="1"/>
  </cols>
  <sheetData>
    <row r="1" spans="1:4" ht="31.5" customHeight="1" x14ac:dyDescent="0.3">
      <c r="A1" s="48" t="s">
        <v>0</v>
      </c>
      <c r="B1" s="48"/>
      <c r="C1" s="48"/>
      <c r="D1" s="48"/>
    </row>
    <row r="2" spans="1:4" ht="18" customHeight="1" x14ac:dyDescent="0.3">
      <c r="B2" s="1" t="s">
        <v>1</v>
      </c>
      <c r="C2" s="2" t="s">
        <v>185</v>
      </c>
    </row>
    <row r="3" spans="1:4" ht="18" customHeight="1" x14ac:dyDescent="0.3">
      <c r="B3" s="3"/>
      <c r="C3" s="2"/>
    </row>
    <row r="4" spans="1:4" ht="18" customHeight="1" x14ac:dyDescent="0.3">
      <c r="B4" s="1" t="s">
        <v>2</v>
      </c>
      <c r="C4" s="2"/>
    </row>
    <row r="5" spans="1:4" ht="18" customHeight="1" x14ac:dyDescent="0.3">
      <c r="B5" s="4" t="s">
        <v>3</v>
      </c>
      <c r="C5" s="2" t="s">
        <v>4</v>
      </c>
    </row>
    <row r="6" spans="1:4" ht="18" customHeight="1" x14ac:dyDescent="0.3">
      <c r="B6" s="4" t="s">
        <v>5</v>
      </c>
      <c r="C6" s="2" t="s">
        <v>6</v>
      </c>
    </row>
    <row r="7" spans="1:4" ht="18" customHeight="1" x14ac:dyDescent="0.3">
      <c r="B7" s="4" t="s">
        <v>7</v>
      </c>
      <c r="C7" s="2" t="s">
        <v>8</v>
      </c>
    </row>
    <row r="8" spans="1:4" ht="18" customHeight="1" x14ac:dyDescent="0.3">
      <c r="B8" s="3"/>
      <c r="C8" s="2"/>
    </row>
    <row r="9" spans="1:4" ht="18" customHeight="1" x14ac:dyDescent="0.3">
      <c r="B9" s="1" t="s">
        <v>9</v>
      </c>
      <c r="C9" s="2"/>
    </row>
    <row r="10" spans="1:4" ht="18" customHeight="1" x14ac:dyDescent="0.3">
      <c r="B10" s="4" t="s">
        <v>10</v>
      </c>
      <c r="C10" s="2" t="s">
        <v>186</v>
      </c>
    </row>
    <row r="11" spans="1:4" ht="18" customHeight="1" x14ac:dyDescent="0.3">
      <c r="B11" s="4" t="s">
        <v>11</v>
      </c>
      <c r="C11" s="2" t="s">
        <v>12</v>
      </c>
    </row>
    <row r="12" spans="1:4" ht="18" customHeight="1" x14ac:dyDescent="0.3">
      <c r="B12" s="4" t="s">
        <v>13</v>
      </c>
      <c r="C12" s="2" t="s">
        <v>14</v>
      </c>
    </row>
    <row r="13" spans="1:4" ht="18" customHeight="1" x14ac:dyDescent="0.3">
      <c r="B13" s="4" t="s">
        <v>15</v>
      </c>
      <c r="C13" s="2" t="s">
        <v>16</v>
      </c>
    </row>
    <row r="14" spans="1:4" ht="18" customHeight="1" x14ac:dyDescent="0.3">
      <c r="B14" s="4" t="s">
        <v>17</v>
      </c>
      <c r="C14" s="2" t="s">
        <v>18</v>
      </c>
    </row>
    <row r="15" spans="1:4" ht="18" customHeight="1" x14ac:dyDescent="0.3">
      <c r="B15" s="4" t="s">
        <v>19</v>
      </c>
      <c r="C15" s="2" t="s">
        <v>20</v>
      </c>
    </row>
    <row r="16" spans="1:4" ht="18" customHeight="1" x14ac:dyDescent="0.3">
      <c r="B16" s="4" t="s">
        <v>21</v>
      </c>
      <c r="C16" s="2" t="s">
        <v>22</v>
      </c>
    </row>
    <row r="17" spans="2:3" ht="18" customHeight="1" x14ac:dyDescent="0.3">
      <c r="B17" s="4" t="s">
        <v>23</v>
      </c>
      <c r="C17" s="2" t="s">
        <v>24</v>
      </c>
    </row>
    <row r="18" spans="2:3" ht="18" customHeight="1" x14ac:dyDescent="0.3">
      <c r="B18" s="4" t="s">
        <v>25</v>
      </c>
      <c r="C18" s="2" t="s">
        <v>26</v>
      </c>
    </row>
    <row r="19" spans="2:3" ht="18" customHeight="1" x14ac:dyDescent="0.3">
      <c r="B19" s="1" t="s">
        <v>27</v>
      </c>
      <c r="C19" s="2" t="s">
        <v>28</v>
      </c>
    </row>
    <row r="20" spans="2:3" ht="18" customHeight="1" x14ac:dyDescent="0.3">
      <c r="B20" s="3"/>
      <c r="C20" s="2"/>
    </row>
    <row r="21" spans="2:3" ht="18" customHeight="1" x14ac:dyDescent="0.3">
      <c r="B21" s="1" t="s">
        <v>29</v>
      </c>
      <c r="C21" s="2"/>
    </row>
    <row r="22" spans="2:3" ht="18" customHeight="1" x14ac:dyDescent="0.3">
      <c r="B22" s="4" t="s">
        <v>30</v>
      </c>
      <c r="C22" s="2" t="s">
        <v>31</v>
      </c>
    </row>
    <row r="23" spans="2:3" ht="18" customHeight="1" x14ac:dyDescent="0.3">
      <c r="B23" s="4" t="s">
        <v>32</v>
      </c>
      <c r="C23" s="2" t="s">
        <v>33</v>
      </c>
    </row>
    <row r="24" spans="2:3" ht="18" customHeight="1" x14ac:dyDescent="0.3">
      <c r="B24" s="4" t="s">
        <v>34</v>
      </c>
      <c r="C24" s="2" t="s">
        <v>35</v>
      </c>
    </row>
    <row r="25" spans="2:3" ht="18" customHeight="1" x14ac:dyDescent="0.3">
      <c r="B25" s="4" t="s">
        <v>36</v>
      </c>
      <c r="C25" s="2" t="s">
        <v>37</v>
      </c>
    </row>
    <row r="26" spans="2:3" ht="18" customHeight="1" x14ac:dyDescent="0.3">
      <c r="B26" s="4" t="s">
        <v>38</v>
      </c>
      <c r="C26" s="2" t="s">
        <v>39</v>
      </c>
    </row>
    <row r="27" spans="2:3" ht="18" customHeight="1" x14ac:dyDescent="0.3">
      <c r="B27" s="4" t="s">
        <v>40</v>
      </c>
      <c r="C27" s="2" t="s">
        <v>41</v>
      </c>
    </row>
    <row r="28" spans="2:3" ht="18" customHeight="1" x14ac:dyDescent="0.3">
      <c r="B28" s="3"/>
      <c r="C28" s="2"/>
    </row>
    <row r="29" spans="2:3" ht="18" customHeight="1" x14ac:dyDescent="0.3">
      <c r="B29" s="1" t="s">
        <v>42</v>
      </c>
      <c r="C29" s="2" t="s">
        <v>43</v>
      </c>
    </row>
    <row r="30" spans="2:3" ht="18" customHeight="1" x14ac:dyDescent="0.3">
      <c r="B30" s="3"/>
      <c r="C30" s="2"/>
    </row>
    <row r="31" spans="2:3" ht="18" customHeight="1" x14ac:dyDescent="0.3">
      <c r="B31" s="1" t="s">
        <v>44</v>
      </c>
      <c r="C31" s="2" t="s">
        <v>45</v>
      </c>
    </row>
    <row r="32" spans="2:3" ht="18" customHeight="1" x14ac:dyDescent="0.3">
      <c r="B32" s="3"/>
      <c r="C32" s="2"/>
    </row>
    <row r="33" spans="2:3" ht="18" customHeight="1" x14ac:dyDescent="0.3">
      <c r="B33" s="1" t="s">
        <v>46</v>
      </c>
      <c r="C33" s="2" t="s">
        <v>47</v>
      </c>
    </row>
  </sheetData>
  <mergeCells count="1">
    <mergeCell ref="A1:D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D7D31"/>
  </sheetPr>
  <dimension ref="A2:M136"/>
  <sheetViews>
    <sheetView zoomScaleNormal="100" workbookViewId="0">
      <pane xSplit="1" ySplit="5" topLeftCell="B130" activePane="bottomRight" state="frozen"/>
      <selection pane="topRight" activeCell="B1" sqref="B1"/>
      <selection pane="bottomLeft" activeCell="A6" sqref="A6"/>
      <selection pane="bottomRight"/>
    </sheetView>
  </sheetViews>
  <sheetFormatPr defaultColWidth="8.6640625" defaultRowHeight="14.4" x14ac:dyDescent="0.3"/>
  <cols>
    <col min="1" max="1" width="4" customWidth="1"/>
    <col min="2" max="2" width="22" customWidth="1"/>
    <col min="3" max="3" width="18" customWidth="1"/>
    <col min="4" max="7" width="14" customWidth="1"/>
    <col min="8" max="9" width="22" customWidth="1"/>
    <col min="10" max="13" width="14" customWidth="1"/>
  </cols>
  <sheetData>
    <row r="2" spans="1:13" ht="36" customHeight="1" x14ac:dyDescent="0.3">
      <c r="A2" s="14" t="s">
        <v>48</v>
      </c>
      <c r="B2" s="14"/>
      <c r="C2" s="14"/>
      <c r="D2" s="14"/>
      <c r="E2" s="14"/>
      <c r="F2" s="14"/>
      <c r="G2" s="14"/>
      <c r="H2" s="14"/>
      <c r="I2" s="14"/>
      <c r="J2" s="14"/>
      <c r="K2" s="14"/>
      <c r="L2" s="14"/>
      <c r="M2" s="14"/>
    </row>
    <row r="3" spans="1:13" ht="19.5" customHeight="1" x14ac:dyDescent="0.3">
      <c r="A3" s="49" t="s">
        <v>49</v>
      </c>
      <c r="B3" s="49"/>
      <c r="C3" s="49"/>
      <c r="D3" s="49"/>
      <c r="E3" s="49"/>
      <c r="F3" s="49"/>
      <c r="G3" s="49"/>
      <c r="H3" s="49"/>
      <c r="I3" s="49"/>
      <c r="J3" s="49"/>
      <c r="K3" s="49"/>
      <c r="L3" s="49"/>
      <c r="M3" s="49"/>
    </row>
    <row r="5" spans="1:13" ht="15" customHeight="1" x14ac:dyDescent="0.3">
      <c r="A5" s="16" t="s">
        <v>50</v>
      </c>
      <c r="B5" s="16"/>
      <c r="C5" s="16"/>
      <c r="D5" s="16"/>
      <c r="E5" s="16"/>
      <c r="F5" s="16"/>
      <c r="G5" s="16"/>
      <c r="H5" s="16"/>
      <c r="I5" s="16"/>
      <c r="J5" s="16"/>
      <c r="K5" s="16"/>
      <c r="L5" s="16"/>
      <c r="M5" s="16"/>
    </row>
    <row r="6" spans="1:13" ht="15" customHeight="1" x14ac:dyDescent="0.3">
      <c r="A6" s="17" t="s">
        <v>51</v>
      </c>
      <c r="B6" s="17"/>
      <c r="C6" s="17"/>
      <c r="D6" s="18"/>
      <c r="E6" s="18"/>
      <c r="F6" s="18"/>
      <c r="G6" s="18"/>
      <c r="H6" s="18"/>
      <c r="I6" s="18"/>
      <c r="J6" s="18"/>
      <c r="K6" s="18"/>
      <c r="L6" s="18"/>
      <c r="M6" s="18"/>
    </row>
    <row r="7" spans="1:13" ht="15" customHeight="1" x14ac:dyDescent="0.3">
      <c r="A7" s="17" t="s">
        <v>52</v>
      </c>
      <c r="B7" s="17"/>
      <c r="C7" s="17"/>
      <c r="D7" s="18"/>
      <c r="E7" s="18"/>
      <c r="F7" s="18"/>
      <c r="G7" s="18"/>
      <c r="H7" s="18"/>
      <c r="I7" s="18"/>
      <c r="J7" s="18"/>
      <c r="K7" s="18"/>
      <c r="L7" s="18"/>
      <c r="M7" s="18"/>
    </row>
    <row r="8" spans="1:13" ht="15" customHeight="1" x14ac:dyDescent="0.3">
      <c r="A8" s="17" t="s">
        <v>53</v>
      </c>
      <c r="B8" s="17"/>
      <c r="C8" s="17"/>
      <c r="D8" s="18"/>
      <c r="E8" s="18"/>
      <c r="F8" s="18"/>
      <c r="G8" s="18"/>
      <c r="H8" s="18"/>
      <c r="I8" s="18"/>
      <c r="J8" s="18"/>
      <c r="K8" s="18"/>
      <c r="L8" s="18"/>
      <c r="M8" s="18"/>
    </row>
    <row r="9" spans="1:13" ht="15" customHeight="1" x14ac:dyDescent="0.3">
      <c r="A9" s="17" t="s">
        <v>54</v>
      </c>
      <c r="B9" s="17"/>
      <c r="C9" s="17"/>
      <c r="D9" s="18" t="s">
        <v>55</v>
      </c>
      <c r="E9" s="18"/>
      <c r="F9" s="18"/>
      <c r="G9" s="18"/>
      <c r="H9" s="18"/>
      <c r="I9" s="18"/>
      <c r="J9" s="18"/>
      <c r="K9" s="18"/>
      <c r="L9" s="18"/>
      <c r="M9" s="18"/>
    </row>
    <row r="10" spans="1:13" ht="15" customHeight="1" x14ac:dyDescent="0.3">
      <c r="A10" s="17" t="s">
        <v>56</v>
      </c>
      <c r="B10" s="17"/>
      <c r="C10" s="17"/>
      <c r="D10" s="18" t="s">
        <v>57</v>
      </c>
      <c r="E10" s="18"/>
      <c r="F10" s="18"/>
      <c r="G10" s="18"/>
      <c r="H10" s="18"/>
      <c r="I10" s="18"/>
      <c r="J10" s="18"/>
      <c r="K10" s="18"/>
      <c r="L10" s="18"/>
      <c r="M10" s="18"/>
    </row>
    <row r="11" spans="1:13" ht="15" customHeight="1" x14ac:dyDescent="0.3">
      <c r="A11" s="17" t="s">
        <v>58</v>
      </c>
      <c r="B11" s="17"/>
      <c r="C11" s="17"/>
      <c r="D11" s="18" t="s">
        <v>59</v>
      </c>
      <c r="E11" s="18"/>
      <c r="F11" s="18"/>
      <c r="G11" s="18"/>
      <c r="H11" s="18"/>
      <c r="I11" s="18"/>
      <c r="J11" s="18"/>
      <c r="K11" s="18"/>
      <c r="L11" s="18"/>
      <c r="M11" s="18"/>
    </row>
    <row r="12" spans="1:13" ht="15" customHeight="1" x14ac:dyDescent="0.3">
      <c r="A12" s="17" t="s">
        <v>60</v>
      </c>
      <c r="B12" s="17"/>
      <c r="C12" s="17"/>
      <c r="D12" s="18" t="s">
        <v>61</v>
      </c>
      <c r="E12" s="18"/>
      <c r="F12" s="18"/>
      <c r="G12" s="18"/>
      <c r="H12" s="18"/>
      <c r="I12" s="18"/>
      <c r="J12" s="18"/>
      <c r="K12" s="18"/>
      <c r="L12" s="18"/>
      <c r="M12" s="18"/>
    </row>
    <row r="14" spans="1:13" ht="15" customHeight="1" x14ac:dyDescent="0.3">
      <c r="A14" s="16" t="s">
        <v>62</v>
      </c>
      <c r="B14" s="16"/>
      <c r="C14" s="16"/>
      <c r="D14" s="16"/>
      <c r="E14" s="16"/>
      <c r="F14" s="16"/>
      <c r="G14" s="16"/>
      <c r="H14" s="16"/>
      <c r="I14" s="16"/>
      <c r="J14" s="16"/>
      <c r="K14" s="16"/>
      <c r="L14" s="16"/>
      <c r="M14" s="16"/>
    </row>
    <row r="15" spans="1:13" ht="15" customHeight="1" x14ac:dyDescent="0.3">
      <c r="A15" s="20" t="s">
        <v>63</v>
      </c>
      <c r="B15" s="20"/>
      <c r="C15" s="20"/>
      <c r="D15" s="20"/>
      <c r="E15" s="20" t="s">
        <v>64</v>
      </c>
      <c r="F15" s="20"/>
      <c r="G15" s="20"/>
      <c r="H15" s="20" t="s">
        <v>65</v>
      </c>
      <c r="I15" s="20"/>
      <c r="J15" s="20"/>
      <c r="K15" s="20"/>
      <c r="L15" s="20"/>
      <c r="M15" s="20"/>
    </row>
    <row r="16" spans="1:13" ht="18" customHeight="1" x14ac:dyDescent="0.3">
      <c r="A16" s="21" t="s">
        <v>66</v>
      </c>
      <c r="B16" s="21"/>
      <c r="C16" s="21"/>
      <c r="D16" s="21"/>
      <c r="E16" s="22"/>
      <c r="F16" s="22"/>
      <c r="G16" s="22"/>
      <c r="H16" s="23" t="s">
        <v>67</v>
      </c>
      <c r="I16" s="23"/>
      <c r="J16" s="23"/>
      <c r="K16" s="23"/>
      <c r="L16" s="23"/>
      <c r="M16" s="23"/>
    </row>
    <row r="17" spans="1:13" ht="18" customHeight="1" x14ac:dyDescent="0.3">
      <c r="A17" s="21" t="s">
        <v>68</v>
      </c>
      <c r="B17" s="21"/>
      <c r="C17" s="21"/>
      <c r="D17" s="21"/>
      <c r="E17" s="22"/>
      <c r="F17" s="22"/>
      <c r="G17" s="22"/>
      <c r="H17" s="23" t="s">
        <v>69</v>
      </c>
      <c r="I17" s="23"/>
      <c r="J17" s="23"/>
      <c r="K17" s="23"/>
      <c r="L17" s="23"/>
      <c r="M17" s="23"/>
    </row>
    <row r="18" spans="1:13" ht="18" customHeight="1" x14ac:dyDescent="0.3">
      <c r="A18" s="17" t="s">
        <v>70</v>
      </c>
      <c r="B18" s="17"/>
      <c r="C18" s="17"/>
      <c r="D18" s="17"/>
      <c r="E18" s="24" t="str">
        <f>IF(AND(ISNUMBER(E16),ISNUMBER(E17)),E16-E17,"")</f>
        <v/>
      </c>
      <c r="F18" s="24"/>
      <c r="G18" s="24"/>
      <c r="H18" s="23" t="s">
        <v>71</v>
      </c>
      <c r="I18" s="23"/>
      <c r="J18" s="23"/>
      <c r="K18" s="23"/>
      <c r="L18" s="23"/>
      <c r="M18" s="23"/>
    </row>
    <row r="19" spans="1:13" ht="18" customHeight="1" x14ac:dyDescent="0.3">
      <c r="A19" s="21" t="s">
        <v>72</v>
      </c>
      <c r="B19" s="21"/>
      <c r="C19" s="21"/>
      <c r="D19" s="21"/>
      <c r="E19" s="22"/>
      <c r="F19" s="22"/>
      <c r="G19" s="22"/>
      <c r="H19" s="23" t="s">
        <v>73</v>
      </c>
      <c r="I19" s="23"/>
      <c r="J19" s="23"/>
      <c r="K19" s="23"/>
      <c r="L19" s="23"/>
      <c r="M19" s="23"/>
    </row>
    <row r="20" spans="1:13" ht="18" customHeight="1" x14ac:dyDescent="0.3">
      <c r="A20" s="21" t="s">
        <v>74</v>
      </c>
      <c r="B20" s="21"/>
      <c r="C20" s="21"/>
      <c r="D20" s="21"/>
      <c r="E20" s="22"/>
      <c r="F20" s="22"/>
      <c r="G20" s="22"/>
      <c r="H20" s="23" t="s">
        <v>75</v>
      </c>
      <c r="I20" s="23"/>
      <c r="J20" s="23"/>
      <c r="K20" s="23"/>
      <c r="L20" s="23"/>
      <c r="M20" s="23"/>
    </row>
    <row r="21" spans="1:13" ht="18" customHeight="1" x14ac:dyDescent="0.3">
      <c r="A21" s="21" t="s">
        <v>76</v>
      </c>
      <c r="B21" s="21"/>
      <c r="C21" s="21"/>
      <c r="D21" s="21"/>
      <c r="E21" s="22"/>
      <c r="F21" s="22"/>
      <c r="G21" s="22"/>
      <c r="H21" s="23" t="s">
        <v>77</v>
      </c>
      <c r="I21" s="23"/>
      <c r="J21" s="23"/>
      <c r="K21" s="23"/>
      <c r="L21" s="23"/>
      <c r="M21" s="23"/>
    </row>
    <row r="22" spans="1:13" ht="18" customHeight="1" x14ac:dyDescent="0.3">
      <c r="A22" s="21" t="s">
        <v>78</v>
      </c>
      <c r="B22" s="21"/>
      <c r="C22" s="21"/>
      <c r="D22" s="21"/>
      <c r="E22" s="22"/>
      <c r="F22" s="22"/>
      <c r="G22" s="22"/>
      <c r="H22" s="23" t="s">
        <v>79</v>
      </c>
      <c r="I22" s="23"/>
      <c r="J22" s="23"/>
      <c r="K22" s="23"/>
      <c r="L22" s="23"/>
      <c r="M22" s="23"/>
    </row>
    <row r="23" spans="1:13" ht="18" customHeight="1" x14ac:dyDescent="0.3">
      <c r="A23" s="17" t="s">
        <v>80</v>
      </c>
      <c r="B23" s="17"/>
      <c r="C23" s="17"/>
      <c r="D23" s="17"/>
      <c r="E23" s="24" t="str">
        <f>IF(AND(ISNUMBER(E19),ISNUMBER(E21)),E19-E21,"")</f>
        <v/>
      </c>
      <c r="F23" s="24"/>
      <c r="G23" s="24"/>
      <c r="H23" s="23" t="s">
        <v>81</v>
      </c>
      <c r="I23" s="23"/>
      <c r="J23" s="23"/>
      <c r="K23" s="23"/>
      <c r="L23" s="23"/>
      <c r="M23" s="23"/>
    </row>
    <row r="24" spans="1:13" ht="18" customHeight="1" x14ac:dyDescent="0.3">
      <c r="A24" s="17" t="s">
        <v>82</v>
      </c>
      <c r="B24" s="17"/>
      <c r="C24" s="17"/>
      <c r="D24" s="17"/>
      <c r="E24" s="25" t="str">
        <f>IF(AND(ISNUMBER(E18),E18&gt;0),E19/E18,"")</f>
        <v/>
      </c>
      <c r="F24" s="25"/>
      <c r="G24" s="25"/>
      <c r="H24" s="23" t="s">
        <v>83</v>
      </c>
      <c r="I24" s="23"/>
      <c r="J24" s="23"/>
      <c r="K24" s="23"/>
      <c r="L24" s="23"/>
      <c r="M24" s="23"/>
    </row>
    <row r="25" spans="1:13" ht="18" customHeight="1" x14ac:dyDescent="0.3">
      <c r="A25" s="21" t="s">
        <v>84</v>
      </c>
      <c r="B25" s="21"/>
      <c r="C25" s="21"/>
      <c r="D25" s="21"/>
      <c r="E25" s="22"/>
      <c r="F25" s="22"/>
      <c r="G25" s="22"/>
      <c r="H25" s="23" t="s">
        <v>85</v>
      </c>
      <c r="I25" s="23"/>
      <c r="J25" s="23"/>
      <c r="K25" s="23"/>
      <c r="L25" s="23"/>
      <c r="M25" s="23"/>
    </row>
    <row r="26" spans="1:13" ht="19.5" customHeight="1" x14ac:dyDescent="0.3">
      <c r="A26" s="26" t="s">
        <v>86</v>
      </c>
      <c r="B26" s="26"/>
      <c r="C26" s="26"/>
      <c r="D26" s="26"/>
      <c r="E26" s="27" t="str">
        <f>IF(AND(ISNUMBER(E16),ISNUMBER(E17),ISNUMBER(E18),ISNUMBER(E20),ISNUMBER(E21)),IF(E16=(E18+E17+E20+E21),"OK - Submit","MISMATCH - Review"),"Fill B1 to B6 first")</f>
        <v>Fill B1 to B6 first</v>
      </c>
      <c r="F26" s="27"/>
      <c r="G26" s="27"/>
      <c r="H26" s="28" t="s">
        <v>87</v>
      </c>
      <c r="I26" s="28"/>
      <c r="J26" s="28"/>
      <c r="K26" s="28"/>
      <c r="L26" s="28"/>
      <c r="M26" s="28"/>
    </row>
    <row r="28" spans="1:13" ht="15" customHeight="1" x14ac:dyDescent="0.3">
      <c r="A28" s="29" t="s">
        <v>88</v>
      </c>
      <c r="B28" s="29"/>
      <c r="C28" s="29"/>
      <c r="D28" s="29"/>
      <c r="E28" s="29"/>
      <c r="F28" s="29"/>
      <c r="G28" s="29"/>
      <c r="H28" s="29"/>
      <c r="I28" s="29"/>
      <c r="J28" s="29"/>
      <c r="K28" s="29"/>
      <c r="L28" s="29"/>
      <c r="M28" s="29"/>
    </row>
    <row r="29" spans="1:13" ht="21.75" customHeight="1" x14ac:dyDescent="0.3">
      <c r="A29" s="17" t="s">
        <v>89</v>
      </c>
      <c r="B29" s="17"/>
      <c r="C29" s="17"/>
      <c r="D29" s="17"/>
      <c r="E29" s="30"/>
      <c r="F29" s="30"/>
      <c r="G29" s="5"/>
      <c r="H29" s="17" t="s">
        <v>90</v>
      </c>
      <c r="I29" s="17"/>
      <c r="J29" s="17"/>
      <c r="K29" s="17"/>
      <c r="L29" s="30"/>
      <c r="M29" s="30"/>
    </row>
    <row r="30" spans="1:13" ht="21.75" customHeight="1" x14ac:dyDescent="0.3">
      <c r="A30" s="17" t="s">
        <v>91</v>
      </c>
      <c r="B30" s="17"/>
      <c r="C30" s="17"/>
      <c r="D30" s="17"/>
      <c r="E30" s="30"/>
      <c r="F30" s="30"/>
      <c r="G30" s="5"/>
      <c r="H30" s="17" t="s">
        <v>92</v>
      </c>
      <c r="I30" s="17"/>
      <c r="J30" s="17"/>
      <c r="K30" s="17"/>
      <c r="L30" s="30"/>
      <c r="M30" s="30"/>
    </row>
    <row r="31" spans="1:13" ht="21.75" customHeight="1" x14ac:dyDescent="0.3">
      <c r="A31" s="17" t="s">
        <v>93</v>
      </c>
      <c r="B31" s="17"/>
      <c r="C31" s="17"/>
      <c r="D31" s="17"/>
      <c r="E31" s="30"/>
      <c r="F31" s="30"/>
      <c r="G31" s="5"/>
      <c r="H31" s="17" t="s">
        <v>94</v>
      </c>
      <c r="I31" s="17"/>
      <c r="J31" s="17"/>
      <c r="K31" s="17"/>
      <c r="L31" s="30"/>
      <c r="M31" s="30"/>
    </row>
    <row r="32" spans="1:13" ht="21.75" customHeight="1" x14ac:dyDescent="0.3">
      <c r="A32" s="17" t="s">
        <v>95</v>
      </c>
      <c r="B32" s="17"/>
      <c r="C32" s="17"/>
      <c r="D32" s="17"/>
      <c r="E32" s="30"/>
      <c r="F32" s="30"/>
      <c r="G32" s="5"/>
      <c r="H32" s="17" t="s">
        <v>96</v>
      </c>
      <c r="I32" s="17"/>
      <c r="J32" s="17"/>
      <c r="K32" s="17"/>
      <c r="L32" s="30"/>
      <c r="M32" s="30"/>
    </row>
    <row r="34" spans="1:13" ht="15" customHeight="1" x14ac:dyDescent="0.3">
      <c r="A34" s="16" t="s">
        <v>97</v>
      </c>
      <c r="B34" s="16"/>
      <c r="C34" s="16"/>
      <c r="D34" s="16"/>
      <c r="E34" s="16"/>
      <c r="F34" s="16"/>
      <c r="G34" s="16"/>
      <c r="H34" s="16"/>
      <c r="I34" s="16"/>
      <c r="J34" s="16"/>
      <c r="K34" s="16"/>
      <c r="L34" s="16"/>
      <c r="M34" s="16"/>
    </row>
    <row r="35" spans="1:13" ht="21.75" customHeight="1" x14ac:dyDescent="0.3">
      <c r="A35" s="6" t="s">
        <v>98</v>
      </c>
      <c r="B35" s="6" t="s">
        <v>99</v>
      </c>
      <c r="C35" s="6" t="s">
        <v>100</v>
      </c>
      <c r="D35" s="6" t="s">
        <v>101</v>
      </c>
      <c r="E35" s="6" t="s">
        <v>102</v>
      </c>
      <c r="F35" s="6" t="s">
        <v>32</v>
      </c>
      <c r="G35" s="6" t="s">
        <v>103</v>
      </c>
      <c r="H35" s="31" t="s">
        <v>104</v>
      </c>
      <c r="I35" s="31"/>
      <c r="J35" s="31"/>
      <c r="K35" s="6" t="s">
        <v>105</v>
      </c>
      <c r="L35" s="6" t="s">
        <v>38</v>
      </c>
      <c r="M35" s="6" t="s">
        <v>106</v>
      </c>
    </row>
    <row r="36" spans="1:13" ht="21.75" customHeight="1" x14ac:dyDescent="0.3">
      <c r="A36" s="7">
        <v>1</v>
      </c>
      <c r="B36" s="7"/>
      <c r="C36" s="7"/>
      <c r="D36" s="7"/>
      <c r="E36" s="7"/>
      <c r="F36" s="7"/>
      <c r="G36" s="7"/>
      <c r="H36" s="32"/>
      <c r="I36" s="32"/>
      <c r="J36" s="32"/>
      <c r="K36" s="7"/>
      <c r="L36" s="7"/>
      <c r="M36" s="7"/>
    </row>
    <row r="37" spans="1:13" ht="21.75" customHeight="1" x14ac:dyDescent="0.3">
      <c r="A37" s="8">
        <v>2</v>
      </c>
      <c r="B37" s="8"/>
      <c r="C37" s="8"/>
      <c r="D37" s="8"/>
      <c r="E37" s="8"/>
      <c r="F37" s="8"/>
      <c r="G37" s="8"/>
      <c r="H37" s="33"/>
      <c r="I37" s="33"/>
      <c r="J37" s="33"/>
      <c r="K37" s="8"/>
      <c r="L37" s="8"/>
      <c r="M37" s="8"/>
    </row>
    <row r="38" spans="1:13" ht="21.75" customHeight="1" x14ac:dyDescent="0.3">
      <c r="A38" s="7">
        <v>3</v>
      </c>
      <c r="B38" s="7"/>
      <c r="C38" s="7"/>
      <c r="D38" s="7"/>
      <c r="E38" s="7"/>
      <c r="F38" s="7"/>
      <c r="G38" s="7"/>
      <c r="H38" s="32"/>
      <c r="I38" s="32"/>
      <c r="J38" s="32"/>
      <c r="K38" s="7"/>
      <c r="L38" s="7"/>
      <c r="M38" s="7"/>
    </row>
    <row r="39" spans="1:13" ht="21.75" customHeight="1" x14ac:dyDescent="0.3">
      <c r="A39" s="8">
        <v>4</v>
      </c>
      <c r="B39" s="8"/>
      <c r="C39" s="8"/>
      <c r="D39" s="8"/>
      <c r="E39" s="8"/>
      <c r="F39" s="8"/>
      <c r="G39" s="8"/>
      <c r="H39" s="33"/>
      <c r="I39" s="33"/>
      <c r="J39" s="33"/>
      <c r="K39" s="8"/>
      <c r="L39" s="8"/>
      <c r="M39" s="8"/>
    </row>
    <row r="40" spans="1:13" ht="21.75" customHeight="1" x14ac:dyDescent="0.3">
      <c r="A40" s="7">
        <v>5</v>
      </c>
      <c r="B40" s="7"/>
      <c r="C40" s="7"/>
      <c r="D40" s="7"/>
      <c r="E40" s="7"/>
      <c r="F40" s="7"/>
      <c r="G40" s="7"/>
      <c r="H40" s="32"/>
      <c r="I40" s="32"/>
      <c r="J40" s="32"/>
      <c r="K40" s="7"/>
      <c r="L40" s="7"/>
      <c r="M40" s="7"/>
    </row>
    <row r="41" spans="1:13" ht="21.75" customHeight="1" x14ac:dyDescent="0.3">
      <c r="A41" s="8">
        <v>6</v>
      </c>
      <c r="B41" s="8"/>
      <c r="C41" s="8"/>
      <c r="D41" s="8"/>
      <c r="E41" s="8"/>
      <c r="F41" s="8"/>
      <c r="G41" s="8"/>
      <c r="H41" s="33"/>
      <c r="I41" s="33"/>
      <c r="J41" s="33"/>
      <c r="K41" s="8"/>
      <c r="L41" s="8"/>
      <c r="M41" s="8"/>
    </row>
    <row r="42" spans="1:13" ht="21.75" customHeight="1" x14ac:dyDescent="0.3">
      <c r="A42" s="7">
        <v>7</v>
      </c>
      <c r="B42" s="7"/>
      <c r="C42" s="7"/>
      <c r="D42" s="7"/>
      <c r="E42" s="7"/>
      <c r="F42" s="7"/>
      <c r="G42" s="7"/>
      <c r="H42" s="32"/>
      <c r="I42" s="32"/>
      <c r="J42" s="32"/>
      <c r="K42" s="7"/>
      <c r="L42" s="7"/>
      <c r="M42" s="7"/>
    </row>
    <row r="43" spans="1:13" ht="21.75" customHeight="1" x14ac:dyDescent="0.3">
      <c r="A43" s="8">
        <v>8</v>
      </c>
      <c r="B43" s="8"/>
      <c r="C43" s="8"/>
      <c r="D43" s="8"/>
      <c r="E43" s="8"/>
      <c r="F43" s="8"/>
      <c r="G43" s="8"/>
      <c r="H43" s="33"/>
      <c r="I43" s="33"/>
      <c r="J43" s="33"/>
      <c r="K43" s="8"/>
      <c r="L43" s="8"/>
      <c r="M43" s="8"/>
    </row>
    <row r="44" spans="1:13" ht="21.75" customHeight="1" x14ac:dyDescent="0.3">
      <c r="A44" s="7">
        <v>9</v>
      </c>
      <c r="B44" s="7"/>
      <c r="C44" s="7"/>
      <c r="D44" s="7"/>
      <c r="E44" s="7"/>
      <c r="F44" s="7"/>
      <c r="G44" s="7"/>
      <c r="H44" s="32"/>
      <c r="I44" s="32"/>
      <c r="J44" s="32"/>
      <c r="K44" s="7"/>
      <c r="L44" s="7"/>
      <c r="M44" s="7"/>
    </row>
    <row r="45" spans="1:13" ht="21.75" customHeight="1" x14ac:dyDescent="0.3">
      <c r="A45" s="8">
        <v>10</v>
      </c>
      <c r="B45" s="8"/>
      <c r="C45" s="8"/>
      <c r="D45" s="8"/>
      <c r="E45" s="8"/>
      <c r="F45" s="8"/>
      <c r="G45" s="8"/>
      <c r="H45" s="33"/>
      <c r="I45" s="33"/>
      <c r="J45" s="33"/>
      <c r="K45" s="8"/>
      <c r="L45" s="8"/>
      <c r="M45" s="8"/>
    </row>
    <row r="46" spans="1:13" ht="21.75" customHeight="1" x14ac:dyDescent="0.3">
      <c r="A46" s="7">
        <v>11</v>
      </c>
      <c r="B46" s="7"/>
      <c r="C46" s="7"/>
      <c r="D46" s="7"/>
      <c r="E46" s="7"/>
      <c r="F46" s="7"/>
      <c r="G46" s="7"/>
      <c r="H46" s="32"/>
      <c r="I46" s="32"/>
      <c r="J46" s="32"/>
      <c r="K46" s="7"/>
      <c r="L46" s="7"/>
      <c r="M46" s="7"/>
    </row>
    <row r="47" spans="1:13" ht="21.75" customHeight="1" x14ac:dyDescent="0.3">
      <c r="A47" s="8">
        <v>12</v>
      </c>
      <c r="B47" s="8"/>
      <c r="C47" s="8"/>
      <c r="D47" s="8"/>
      <c r="E47" s="8"/>
      <c r="F47" s="8"/>
      <c r="G47" s="8"/>
      <c r="H47" s="33"/>
      <c r="I47" s="33"/>
      <c r="J47" s="33"/>
      <c r="K47" s="8"/>
      <c r="L47" s="8"/>
      <c r="M47" s="8"/>
    </row>
    <row r="48" spans="1:13" ht="21.75" customHeight="1" x14ac:dyDescent="0.3">
      <c r="A48" s="7">
        <v>13</v>
      </c>
      <c r="B48" s="7"/>
      <c r="C48" s="7"/>
      <c r="D48" s="7"/>
      <c r="E48" s="7"/>
      <c r="F48" s="7"/>
      <c r="G48" s="7"/>
      <c r="H48" s="32"/>
      <c r="I48" s="32"/>
      <c r="J48" s="32"/>
      <c r="K48" s="7"/>
      <c r="L48" s="7"/>
      <c r="M48" s="7"/>
    </row>
    <row r="49" spans="1:13" ht="21.75" customHeight="1" x14ac:dyDescent="0.3">
      <c r="A49" s="8">
        <v>14</v>
      </c>
      <c r="B49" s="8"/>
      <c r="C49" s="8"/>
      <c r="D49" s="8"/>
      <c r="E49" s="8"/>
      <c r="F49" s="8"/>
      <c r="G49" s="8"/>
      <c r="H49" s="33"/>
      <c r="I49" s="33"/>
      <c r="J49" s="33"/>
      <c r="K49" s="8"/>
      <c r="L49" s="8"/>
      <c r="M49" s="8"/>
    </row>
    <row r="50" spans="1:13" ht="21.75" customHeight="1" x14ac:dyDescent="0.3">
      <c r="A50" s="7">
        <v>15</v>
      </c>
      <c r="B50" s="7"/>
      <c r="C50" s="7"/>
      <c r="D50" s="7"/>
      <c r="E50" s="7"/>
      <c r="F50" s="7"/>
      <c r="G50" s="7"/>
      <c r="H50" s="32"/>
      <c r="I50" s="32"/>
      <c r="J50" s="32"/>
      <c r="K50" s="7"/>
      <c r="L50" s="7"/>
      <c r="M50" s="7"/>
    </row>
    <row r="51" spans="1:13" ht="21.75" customHeight="1" x14ac:dyDescent="0.3">
      <c r="A51" s="8">
        <v>16</v>
      </c>
      <c r="B51" s="8"/>
      <c r="C51" s="8"/>
      <c r="D51" s="8"/>
      <c r="E51" s="8"/>
      <c r="F51" s="8"/>
      <c r="G51" s="8"/>
      <c r="H51" s="33"/>
      <c r="I51" s="33"/>
      <c r="J51" s="33"/>
      <c r="K51" s="8"/>
      <c r="L51" s="8"/>
      <c r="M51" s="8"/>
    </row>
    <row r="52" spans="1:13" ht="21.75" customHeight="1" x14ac:dyDescent="0.3">
      <c r="A52" s="7">
        <v>17</v>
      </c>
      <c r="B52" s="7"/>
      <c r="C52" s="7"/>
      <c r="D52" s="7"/>
      <c r="E52" s="7"/>
      <c r="F52" s="7"/>
      <c r="G52" s="7"/>
      <c r="H52" s="32"/>
      <c r="I52" s="32"/>
      <c r="J52" s="32"/>
      <c r="K52" s="7"/>
      <c r="L52" s="7"/>
      <c r="M52" s="7"/>
    </row>
    <row r="53" spans="1:13" ht="21.75" customHeight="1" x14ac:dyDescent="0.3">
      <c r="A53" s="8">
        <v>18</v>
      </c>
      <c r="B53" s="8"/>
      <c r="C53" s="8"/>
      <c r="D53" s="8"/>
      <c r="E53" s="8"/>
      <c r="F53" s="8"/>
      <c r="G53" s="8"/>
      <c r="H53" s="33"/>
      <c r="I53" s="33"/>
      <c r="J53" s="33"/>
      <c r="K53" s="8"/>
      <c r="L53" s="8"/>
      <c r="M53" s="8"/>
    </row>
    <row r="54" spans="1:13" ht="21.75" customHeight="1" x14ac:dyDescent="0.3">
      <c r="A54" s="7">
        <v>19</v>
      </c>
      <c r="B54" s="7"/>
      <c r="C54" s="7"/>
      <c r="D54" s="7"/>
      <c r="E54" s="7"/>
      <c r="F54" s="7"/>
      <c r="G54" s="7"/>
      <c r="H54" s="32"/>
      <c r="I54" s="32"/>
      <c r="J54" s="32"/>
      <c r="K54" s="7"/>
      <c r="L54" s="7"/>
      <c r="M54" s="7"/>
    </row>
    <row r="55" spans="1:13" ht="21.75" customHeight="1" x14ac:dyDescent="0.3">
      <c r="A55" s="8">
        <v>20</v>
      </c>
      <c r="B55" s="8"/>
      <c r="C55" s="8"/>
      <c r="D55" s="8"/>
      <c r="E55" s="8"/>
      <c r="F55" s="8"/>
      <c r="G55" s="8"/>
      <c r="H55" s="33"/>
      <c r="I55" s="33"/>
      <c r="J55" s="33"/>
      <c r="K55" s="8"/>
      <c r="L55" s="8"/>
      <c r="M55" s="8"/>
    </row>
    <row r="56" spans="1:13" ht="21.75" customHeight="1" x14ac:dyDescent="0.3">
      <c r="A56" s="7">
        <v>21</v>
      </c>
      <c r="B56" s="7"/>
      <c r="C56" s="7"/>
      <c r="D56" s="7"/>
      <c r="E56" s="7"/>
      <c r="F56" s="7"/>
      <c r="G56" s="7"/>
      <c r="H56" s="32"/>
      <c r="I56" s="32"/>
      <c r="J56" s="32"/>
      <c r="K56" s="7"/>
      <c r="L56" s="7"/>
      <c r="M56" s="7"/>
    </row>
    <row r="57" spans="1:13" ht="21.75" customHeight="1" x14ac:dyDescent="0.3">
      <c r="A57" s="8">
        <v>22</v>
      </c>
      <c r="B57" s="8"/>
      <c r="C57" s="8"/>
      <c r="D57" s="8"/>
      <c r="E57" s="8"/>
      <c r="F57" s="8"/>
      <c r="G57" s="8"/>
      <c r="H57" s="33"/>
      <c r="I57" s="33"/>
      <c r="J57" s="33"/>
      <c r="K57" s="8"/>
      <c r="L57" s="8"/>
      <c r="M57" s="8"/>
    </row>
    <row r="58" spans="1:13" ht="21.75" customHeight="1" x14ac:dyDescent="0.3">
      <c r="A58" s="7">
        <v>23</v>
      </c>
      <c r="B58" s="7"/>
      <c r="C58" s="7"/>
      <c r="D58" s="7"/>
      <c r="E58" s="7"/>
      <c r="F58" s="7"/>
      <c r="G58" s="7"/>
      <c r="H58" s="32"/>
      <c r="I58" s="32"/>
      <c r="J58" s="32"/>
      <c r="K58" s="7"/>
      <c r="L58" s="7"/>
      <c r="M58" s="7"/>
    </row>
    <row r="59" spans="1:13" ht="21.75" customHeight="1" x14ac:dyDescent="0.3">
      <c r="A59" s="8">
        <v>24</v>
      </c>
      <c r="B59" s="8"/>
      <c r="C59" s="8"/>
      <c r="D59" s="8"/>
      <c r="E59" s="8"/>
      <c r="F59" s="8"/>
      <c r="G59" s="8"/>
      <c r="H59" s="33"/>
      <c r="I59" s="33"/>
      <c r="J59" s="33"/>
      <c r="K59" s="8"/>
      <c r="L59" s="8"/>
      <c r="M59" s="8"/>
    </row>
    <row r="60" spans="1:13" ht="21.75" customHeight="1" x14ac:dyDescent="0.3">
      <c r="A60" s="7">
        <v>25</v>
      </c>
      <c r="B60" s="7"/>
      <c r="C60" s="7"/>
      <c r="D60" s="7"/>
      <c r="E60" s="7"/>
      <c r="F60" s="7"/>
      <c r="G60" s="7"/>
      <c r="H60" s="32"/>
      <c r="I60" s="32"/>
      <c r="J60" s="32"/>
      <c r="K60" s="7"/>
      <c r="L60" s="7"/>
      <c r="M60" s="7"/>
    </row>
    <row r="61" spans="1:13" ht="21.75" customHeight="1" x14ac:dyDescent="0.3">
      <c r="A61" s="8">
        <v>26</v>
      </c>
      <c r="B61" s="8"/>
      <c r="C61" s="8"/>
      <c r="D61" s="8"/>
      <c r="E61" s="8"/>
      <c r="F61" s="8"/>
      <c r="G61" s="8"/>
      <c r="H61" s="33"/>
      <c r="I61" s="33"/>
      <c r="J61" s="33"/>
      <c r="K61" s="8"/>
      <c r="L61" s="8"/>
      <c r="M61" s="8"/>
    </row>
    <row r="62" spans="1:13" ht="21.75" customHeight="1" x14ac:dyDescent="0.3">
      <c r="A62" s="7">
        <v>27</v>
      </c>
      <c r="B62" s="7"/>
      <c r="C62" s="7"/>
      <c r="D62" s="7"/>
      <c r="E62" s="7"/>
      <c r="F62" s="7"/>
      <c r="G62" s="7"/>
      <c r="H62" s="32"/>
      <c r="I62" s="32"/>
      <c r="J62" s="32"/>
      <c r="K62" s="7"/>
      <c r="L62" s="7"/>
      <c r="M62" s="7"/>
    </row>
    <row r="63" spans="1:13" ht="21.75" customHeight="1" x14ac:dyDescent="0.3">
      <c r="A63" s="8">
        <v>28</v>
      </c>
      <c r="B63" s="8"/>
      <c r="C63" s="8"/>
      <c r="D63" s="8"/>
      <c r="E63" s="8"/>
      <c r="F63" s="8"/>
      <c r="G63" s="8"/>
      <c r="H63" s="33"/>
      <c r="I63" s="33"/>
      <c r="J63" s="33"/>
      <c r="K63" s="8"/>
      <c r="L63" s="8"/>
      <c r="M63" s="8"/>
    </row>
    <row r="64" spans="1:13" ht="21.75" customHeight="1" x14ac:dyDescent="0.3">
      <c r="A64" s="7">
        <v>29</v>
      </c>
      <c r="B64" s="7"/>
      <c r="C64" s="7"/>
      <c r="D64" s="7"/>
      <c r="E64" s="7"/>
      <c r="F64" s="7"/>
      <c r="G64" s="7"/>
      <c r="H64" s="32"/>
      <c r="I64" s="32"/>
      <c r="J64" s="32"/>
      <c r="K64" s="7"/>
      <c r="L64" s="7"/>
      <c r="M64" s="7"/>
    </row>
    <row r="65" spans="1:13" ht="21.75" customHeight="1" x14ac:dyDescent="0.3">
      <c r="A65" s="8">
        <v>30</v>
      </c>
      <c r="B65" s="8"/>
      <c r="C65" s="8"/>
      <c r="D65" s="8"/>
      <c r="E65" s="8"/>
      <c r="F65" s="8"/>
      <c r="G65" s="8"/>
      <c r="H65" s="33"/>
      <c r="I65" s="33"/>
      <c r="J65" s="33"/>
      <c r="K65" s="8"/>
      <c r="L65" s="8"/>
      <c r="M65" s="8"/>
    </row>
    <row r="66" spans="1:13" ht="21.75" customHeight="1" x14ac:dyDescent="0.3">
      <c r="A66" s="7">
        <v>31</v>
      </c>
      <c r="B66" s="7"/>
      <c r="C66" s="7"/>
      <c r="D66" s="7"/>
      <c r="E66" s="7"/>
      <c r="F66" s="7"/>
      <c r="G66" s="7"/>
      <c r="H66" s="32"/>
      <c r="I66" s="32"/>
      <c r="J66" s="32"/>
      <c r="K66" s="7"/>
      <c r="L66" s="7"/>
      <c r="M66" s="7"/>
    </row>
    <row r="67" spans="1:13" ht="21.75" customHeight="1" x14ac:dyDescent="0.3">
      <c r="A67" s="8">
        <v>32</v>
      </c>
      <c r="B67" s="8"/>
      <c r="C67" s="8"/>
      <c r="D67" s="8"/>
      <c r="E67" s="8"/>
      <c r="F67" s="8"/>
      <c r="G67" s="8"/>
      <c r="H67" s="33"/>
      <c r="I67" s="33"/>
      <c r="J67" s="33"/>
      <c r="K67" s="8"/>
      <c r="L67" s="8"/>
      <c r="M67" s="8"/>
    </row>
    <row r="68" spans="1:13" ht="21.75" customHeight="1" x14ac:dyDescent="0.3">
      <c r="A68" s="7">
        <v>33</v>
      </c>
      <c r="B68" s="7"/>
      <c r="C68" s="7"/>
      <c r="D68" s="7"/>
      <c r="E68" s="7"/>
      <c r="F68" s="7"/>
      <c r="G68" s="7"/>
      <c r="H68" s="32"/>
      <c r="I68" s="32"/>
      <c r="J68" s="32"/>
      <c r="K68" s="7"/>
      <c r="L68" s="7"/>
      <c r="M68" s="7"/>
    </row>
    <row r="69" spans="1:13" ht="21.75" customHeight="1" x14ac:dyDescent="0.3">
      <c r="A69" s="8">
        <v>34</v>
      </c>
      <c r="B69" s="8"/>
      <c r="C69" s="8"/>
      <c r="D69" s="8"/>
      <c r="E69" s="8"/>
      <c r="F69" s="8"/>
      <c r="G69" s="8"/>
      <c r="H69" s="33"/>
      <c r="I69" s="33"/>
      <c r="J69" s="33"/>
      <c r="K69" s="8"/>
      <c r="L69" s="8"/>
      <c r="M69" s="8"/>
    </row>
    <row r="70" spans="1:13" ht="21.75" customHeight="1" x14ac:dyDescent="0.3">
      <c r="A70" s="7">
        <v>35</v>
      </c>
      <c r="B70" s="7"/>
      <c r="C70" s="7"/>
      <c r="D70" s="7"/>
      <c r="E70" s="7"/>
      <c r="F70" s="7"/>
      <c r="G70" s="7"/>
      <c r="H70" s="32"/>
      <c r="I70" s="32"/>
      <c r="J70" s="32"/>
      <c r="K70" s="7"/>
      <c r="L70" s="7"/>
      <c r="M70" s="7"/>
    </row>
    <row r="71" spans="1:13" ht="21.75" customHeight="1" x14ac:dyDescent="0.3">
      <c r="A71" s="8">
        <v>36</v>
      </c>
      <c r="B71" s="8"/>
      <c r="C71" s="8"/>
      <c r="D71" s="8"/>
      <c r="E71" s="8"/>
      <c r="F71" s="8"/>
      <c r="G71" s="8"/>
      <c r="H71" s="33"/>
      <c r="I71" s="33"/>
      <c r="J71" s="33"/>
      <c r="K71" s="8"/>
      <c r="L71" s="8"/>
      <c r="M71" s="8"/>
    </row>
    <row r="72" spans="1:13" ht="21.75" customHeight="1" x14ac:dyDescent="0.3">
      <c r="A72" s="7">
        <v>37</v>
      </c>
      <c r="B72" s="7"/>
      <c r="C72" s="7"/>
      <c r="D72" s="7"/>
      <c r="E72" s="7"/>
      <c r="F72" s="7"/>
      <c r="G72" s="7"/>
      <c r="H72" s="32"/>
      <c r="I72" s="32"/>
      <c r="J72" s="32"/>
      <c r="K72" s="7"/>
      <c r="L72" s="7"/>
      <c r="M72" s="7"/>
    </row>
    <row r="73" spans="1:13" ht="21.75" customHeight="1" x14ac:dyDescent="0.3">
      <c r="A73" s="8">
        <v>38</v>
      </c>
      <c r="B73" s="8"/>
      <c r="C73" s="8"/>
      <c r="D73" s="8"/>
      <c r="E73" s="8"/>
      <c r="F73" s="8"/>
      <c r="G73" s="8"/>
      <c r="H73" s="33"/>
      <c r="I73" s="33"/>
      <c r="J73" s="33"/>
      <c r="K73" s="8"/>
      <c r="L73" s="8"/>
      <c r="M73" s="8"/>
    </row>
    <row r="74" spans="1:13" ht="21.75" customHeight="1" x14ac:dyDescent="0.3">
      <c r="A74" s="7">
        <v>39</v>
      </c>
      <c r="B74" s="7"/>
      <c r="C74" s="7"/>
      <c r="D74" s="7"/>
      <c r="E74" s="7"/>
      <c r="F74" s="7"/>
      <c r="G74" s="7"/>
      <c r="H74" s="32"/>
      <c r="I74" s="32"/>
      <c r="J74" s="32"/>
      <c r="K74" s="7"/>
      <c r="L74" s="7"/>
      <c r="M74" s="7"/>
    </row>
    <row r="75" spans="1:13" ht="21.75" customHeight="1" x14ac:dyDescent="0.3">
      <c r="A75" s="8">
        <v>40</v>
      </c>
      <c r="B75" s="8"/>
      <c r="C75" s="8"/>
      <c r="D75" s="8"/>
      <c r="E75" s="8"/>
      <c r="F75" s="8"/>
      <c r="G75" s="8"/>
      <c r="H75" s="33"/>
      <c r="I75" s="33"/>
      <c r="J75" s="33"/>
      <c r="K75" s="8"/>
      <c r="L75" s="8"/>
      <c r="M75" s="8"/>
    </row>
    <row r="76" spans="1:13" ht="15" customHeight="1" x14ac:dyDescent="0.3">
      <c r="A76" s="50" t="str">
        <f>COUNTA(B36:B75)&amp;" tasks logged  |  "&amp;COUNTIF(K36:K75,"Completed")&amp;" Completed  |  "&amp;(COUNTIF(K36:K75,"Pending")+COUNTIF(K36:K75,"Carry Forward"))&amp;" Pending"</f>
        <v>0 tasks logged  |  0 Completed  |  0 Pending</v>
      </c>
      <c r="B76" s="50"/>
      <c r="C76" s="50"/>
      <c r="D76" s="50"/>
      <c r="E76" s="50"/>
      <c r="F76" s="50"/>
      <c r="G76" s="9">
        <f>SUM(G36:G75)</f>
        <v>0</v>
      </c>
      <c r="H76" s="10"/>
      <c r="I76" s="10"/>
      <c r="J76" s="10"/>
      <c r="K76" s="10"/>
      <c r="L76" s="10"/>
      <c r="M76" s="10"/>
    </row>
    <row r="78" spans="1:13" ht="15" customHeight="1" x14ac:dyDescent="0.3">
      <c r="A78" s="16" t="s">
        <v>107</v>
      </c>
      <c r="B78" s="16"/>
      <c r="C78" s="16"/>
      <c r="D78" s="16"/>
      <c r="E78" s="16"/>
      <c r="F78" s="16"/>
      <c r="G78" s="16"/>
      <c r="H78" s="16"/>
      <c r="I78" s="16"/>
      <c r="J78" s="16"/>
      <c r="K78" s="16"/>
      <c r="L78" s="16"/>
      <c r="M78" s="16"/>
    </row>
    <row r="79" spans="1:13" ht="15" customHeight="1" x14ac:dyDescent="0.3">
      <c r="A79" s="31" t="s">
        <v>108</v>
      </c>
      <c r="B79" s="31"/>
      <c r="C79" s="31" t="s">
        <v>99</v>
      </c>
      <c r="D79" s="31"/>
      <c r="E79" s="31" t="s">
        <v>109</v>
      </c>
      <c r="F79" s="31"/>
      <c r="G79" s="31" t="s">
        <v>110</v>
      </c>
      <c r="H79" s="31"/>
      <c r="I79" s="31"/>
      <c r="J79" s="31"/>
      <c r="K79" s="31"/>
      <c r="L79" s="31" t="s">
        <v>111</v>
      </c>
      <c r="M79" s="31"/>
    </row>
    <row r="80" spans="1:13" ht="21.75" customHeight="1" x14ac:dyDescent="0.3">
      <c r="A80" s="34"/>
      <c r="B80" s="34"/>
      <c r="C80" s="34"/>
      <c r="D80" s="34"/>
      <c r="E80" s="34"/>
      <c r="F80" s="34"/>
      <c r="G80" s="32"/>
      <c r="H80" s="32"/>
      <c r="I80" s="32"/>
      <c r="J80" s="32"/>
      <c r="K80" s="32"/>
      <c r="L80" s="34"/>
      <c r="M80" s="34"/>
    </row>
    <row r="81" spans="1:13" ht="21.75" customHeight="1" x14ac:dyDescent="0.3">
      <c r="A81" s="36"/>
      <c r="B81" s="36"/>
      <c r="C81" s="36"/>
      <c r="D81" s="36"/>
      <c r="E81" s="36"/>
      <c r="F81" s="36"/>
      <c r="G81" s="33"/>
      <c r="H81" s="33"/>
      <c r="I81" s="33"/>
      <c r="J81" s="33"/>
      <c r="K81" s="33"/>
      <c r="L81" s="36"/>
      <c r="M81" s="36"/>
    </row>
    <row r="82" spans="1:13" ht="21.75" customHeight="1" x14ac:dyDescent="0.3">
      <c r="A82" s="34"/>
      <c r="B82" s="34"/>
      <c r="C82" s="34"/>
      <c r="D82" s="34"/>
      <c r="E82" s="34"/>
      <c r="F82" s="34"/>
      <c r="G82" s="32"/>
      <c r="H82" s="32"/>
      <c r="I82" s="32"/>
      <c r="J82" s="32"/>
      <c r="K82" s="32"/>
      <c r="L82" s="34"/>
      <c r="M82" s="34"/>
    </row>
    <row r="83" spans="1:13" ht="21.75" customHeight="1" x14ac:dyDescent="0.3">
      <c r="A83" s="36"/>
      <c r="B83" s="36"/>
      <c r="C83" s="36"/>
      <c r="D83" s="36"/>
      <c r="E83" s="36"/>
      <c r="F83" s="36"/>
      <c r="G83" s="33"/>
      <c r="H83" s="33"/>
      <c r="I83" s="33"/>
      <c r="J83" s="33"/>
      <c r="K83" s="33"/>
      <c r="L83" s="36"/>
      <c r="M83" s="36"/>
    </row>
    <row r="84" spans="1:13" ht="21.75" customHeight="1" x14ac:dyDescent="0.3">
      <c r="A84" s="34"/>
      <c r="B84" s="34"/>
      <c r="C84" s="34"/>
      <c r="D84" s="34"/>
      <c r="E84" s="34"/>
      <c r="F84" s="34"/>
      <c r="G84" s="32"/>
      <c r="H84" s="32"/>
      <c r="I84" s="32"/>
      <c r="J84" s="32"/>
      <c r="K84" s="32"/>
      <c r="L84" s="34"/>
      <c r="M84" s="34"/>
    </row>
    <row r="85" spans="1:13" ht="21.75" customHeight="1" x14ac:dyDescent="0.3">
      <c r="A85" s="36"/>
      <c r="B85" s="36"/>
      <c r="C85" s="36"/>
      <c r="D85" s="36"/>
      <c r="E85" s="36"/>
      <c r="F85" s="36"/>
      <c r="G85" s="33"/>
      <c r="H85" s="33"/>
      <c r="I85" s="33"/>
      <c r="J85" s="33"/>
      <c r="K85" s="33"/>
      <c r="L85" s="36"/>
      <c r="M85" s="36"/>
    </row>
    <row r="86" spans="1:13" ht="21.75" customHeight="1" x14ac:dyDescent="0.3">
      <c r="A86" s="34"/>
      <c r="B86" s="34"/>
      <c r="C86" s="34"/>
      <c r="D86" s="34"/>
      <c r="E86" s="34"/>
      <c r="F86" s="34"/>
      <c r="G86" s="32"/>
      <c r="H86" s="32"/>
      <c r="I86" s="32"/>
      <c r="J86" s="32"/>
      <c r="K86" s="32"/>
      <c r="L86" s="34"/>
      <c r="M86" s="34"/>
    </row>
    <row r="87" spans="1:13" ht="21.75" customHeight="1" x14ac:dyDescent="0.3">
      <c r="A87" s="36"/>
      <c r="B87" s="36"/>
      <c r="C87" s="36"/>
      <c r="D87" s="36"/>
      <c r="E87" s="36"/>
      <c r="F87" s="36"/>
      <c r="G87" s="33"/>
      <c r="H87" s="33"/>
      <c r="I87" s="33"/>
      <c r="J87" s="33"/>
      <c r="K87" s="33"/>
      <c r="L87" s="36"/>
      <c r="M87" s="36"/>
    </row>
    <row r="88" spans="1:13" ht="21.75" customHeight="1" x14ac:dyDescent="0.3">
      <c r="A88" s="34"/>
      <c r="B88" s="34"/>
      <c r="C88" s="34"/>
      <c r="D88" s="34"/>
      <c r="E88" s="34"/>
      <c r="F88" s="34"/>
      <c r="G88" s="32"/>
      <c r="H88" s="32"/>
      <c r="I88" s="32"/>
      <c r="J88" s="32"/>
      <c r="K88" s="32"/>
      <c r="L88" s="34"/>
      <c r="M88" s="34"/>
    </row>
    <row r="89" spans="1:13" ht="21.75" customHeight="1" x14ac:dyDescent="0.3">
      <c r="A89" s="36"/>
      <c r="B89" s="36"/>
      <c r="C89" s="36"/>
      <c r="D89" s="36"/>
      <c r="E89" s="36"/>
      <c r="F89" s="36"/>
      <c r="G89" s="33"/>
      <c r="H89" s="33"/>
      <c r="I89" s="33"/>
      <c r="J89" s="33"/>
      <c r="K89" s="33"/>
      <c r="L89" s="36"/>
      <c r="M89" s="36"/>
    </row>
    <row r="91" spans="1:13" ht="15" customHeight="1" x14ac:dyDescent="0.3">
      <c r="A91" s="16" t="s">
        <v>112</v>
      </c>
      <c r="B91" s="16"/>
      <c r="C91" s="16"/>
      <c r="D91" s="16"/>
      <c r="E91" s="16"/>
      <c r="F91" s="16"/>
      <c r="G91" s="16"/>
      <c r="H91" s="16"/>
      <c r="I91" s="16"/>
      <c r="J91" s="16"/>
      <c r="K91" s="16"/>
      <c r="L91" s="16"/>
      <c r="M91" s="16"/>
    </row>
    <row r="92" spans="1:13" ht="15" customHeight="1" x14ac:dyDescent="0.3">
      <c r="A92" s="31" t="s">
        <v>113</v>
      </c>
      <c r="B92" s="31"/>
      <c r="C92" s="31"/>
      <c r="D92" s="6" t="s">
        <v>114</v>
      </c>
      <c r="E92" s="31" t="s">
        <v>115</v>
      </c>
      <c r="F92" s="31"/>
      <c r="G92" s="31"/>
      <c r="H92" s="31" t="s">
        <v>116</v>
      </c>
      <c r="I92" s="31"/>
      <c r="J92" s="6" t="s">
        <v>117</v>
      </c>
      <c r="K92" s="6" t="s">
        <v>118</v>
      </c>
      <c r="L92" s="6" t="s">
        <v>119</v>
      </c>
      <c r="M92" s="6" t="s">
        <v>111</v>
      </c>
    </row>
    <row r="93" spans="1:13" ht="21.75" customHeight="1" x14ac:dyDescent="0.3">
      <c r="A93" s="34"/>
      <c r="B93" s="34"/>
      <c r="C93" s="34"/>
      <c r="D93" s="7"/>
      <c r="E93" s="34"/>
      <c r="F93" s="34"/>
      <c r="G93" s="34"/>
      <c r="H93" s="34"/>
      <c r="I93" s="34"/>
      <c r="J93" s="7"/>
      <c r="K93" s="7"/>
      <c r="L93" s="7"/>
      <c r="M93" s="7"/>
    </row>
    <row r="94" spans="1:13" ht="21.75" customHeight="1" x14ac:dyDescent="0.3">
      <c r="A94" s="36"/>
      <c r="B94" s="36"/>
      <c r="C94" s="36"/>
      <c r="D94" s="8"/>
      <c r="E94" s="36"/>
      <c r="F94" s="36"/>
      <c r="G94" s="36"/>
      <c r="H94" s="36"/>
      <c r="I94" s="36"/>
      <c r="J94" s="8"/>
      <c r="K94" s="8"/>
      <c r="L94" s="8"/>
      <c r="M94" s="8"/>
    </row>
    <row r="95" spans="1:13" ht="21.75" customHeight="1" x14ac:dyDescent="0.3">
      <c r="A95" s="34"/>
      <c r="B95" s="34"/>
      <c r="C95" s="34"/>
      <c r="D95" s="7"/>
      <c r="E95" s="34"/>
      <c r="F95" s="34"/>
      <c r="G95" s="34"/>
      <c r="H95" s="34"/>
      <c r="I95" s="34"/>
      <c r="J95" s="7"/>
      <c r="K95" s="7"/>
      <c r="L95" s="7"/>
      <c r="M95" s="7"/>
    </row>
    <row r="96" spans="1:13" ht="21.75" customHeight="1" x14ac:dyDescent="0.3">
      <c r="A96" s="36"/>
      <c r="B96" s="36"/>
      <c r="C96" s="36"/>
      <c r="D96" s="8"/>
      <c r="E96" s="36"/>
      <c r="F96" s="36"/>
      <c r="G96" s="36"/>
      <c r="H96" s="36"/>
      <c r="I96" s="36"/>
      <c r="J96" s="8"/>
      <c r="K96" s="8"/>
      <c r="L96" s="8"/>
      <c r="M96" s="8"/>
    </row>
    <row r="97" spans="1:13" ht="21.75" customHeight="1" x14ac:dyDescent="0.3">
      <c r="A97" s="34"/>
      <c r="B97" s="34"/>
      <c r="C97" s="34"/>
      <c r="D97" s="7"/>
      <c r="E97" s="34"/>
      <c r="F97" s="34"/>
      <c r="G97" s="34"/>
      <c r="H97" s="34"/>
      <c r="I97" s="34"/>
      <c r="J97" s="7"/>
      <c r="K97" s="7"/>
      <c r="L97" s="7"/>
      <c r="M97" s="7"/>
    </row>
    <row r="98" spans="1:13" ht="21.75" customHeight="1" x14ac:dyDescent="0.3">
      <c r="A98" s="36"/>
      <c r="B98" s="36"/>
      <c r="C98" s="36"/>
      <c r="D98" s="8"/>
      <c r="E98" s="36"/>
      <c r="F98" s="36"/>
      <c r="G98" s="36"/>
      <c r="H98" s="36"/>
      <c r="I98" s="36"/>
      <c r="J98" s="8"/>
      <c r="K98" s="8"/>
      <c r="L98" s="8"/>
      <c r="M98" s="8"/>
    </row>
    <row r="99" spans="1:13" ht="21.75" customHeight="1" x14ac:dyDescent="0.3">
      <c r="A99" s="34"/>
      <c r="B99" s="34"/>
      <c r="C99" s="34"/>
      <c r="D99" s="7"/>
      <c r="E99" s="34"/>
      <c r="F99" s="34"/>
      <c r="G99" s="34"/>
      <c r="H99" s="34"/>
      <c r="I99" s="34"/>
      <c r="J99" s="7"/>
      <c r="K99" s="7"/>
      <c r="L99" s="7"/>
      <c r="M99" s="7"/>
    </row>
    <row r="100" spans="1:13" ht="21.75" customHeight="1" x14ac:dyDescent="0.3">
      <c r="A100" s="36"/>
      <c r="B100" s="36"/>
      <c r="C100" s="36"/>
      <c r="D100" s="8"/>
      <c r="E100" s="36"/>
      <c r="F100" s="36"/>
      <c r="G100" s="36"/>
      <c r="H100" s="36"/>
      <c r="I100" s="36"/>
      <c r="J100" s="8"/>
      <c r="K100" s="8"/>
      <c r="L100" s="8"/>
      <c r="M100" s="8"/>
    </row>
    <row r="101" spans="1:13" ht="21.75" customHeight="1" x14ac:dyDescent="0.3">
      <c r="A101" s="34"/>
      <c r="B101" s="34"/>
      <c r="C101" s="34"/>
      <c r="D101" s="7"/>
      <c r="E101" s="34"/>
      <c r="F101" s="34"/>
      <c r="G101" s="34"/>
      <c r="H101" s="34"/>
      <c r="I101" s="34"/>
      <c r="J101" s="7"/>
      <c r="K101" s="7"/>
      <c r="L101" s="7"/>
      <c r="M101" s="7"/>
    </row>
    <row r="102" spans="1:13" ht="21.75" customHeight="1" x14ac:dyDescent="0.3">
      <c r="A102" s="36"/>
      <c r="B102" s="36"/>
      <c r="C102" s="36"/>
      <c r="D102" s="8"/>
      <c r="E102" s="36"/>
      <c r="F102" s="36"/>
      <c r="G102" s="36"/>
      <c r="H102" s="36"/>
      <c r="I102" s="36"/>
      <c r="J102" s="8"/>
      <c r="K102" s="8"/>
      <c r="L102" s="8"/>
      <c r="M102" s="8"/>
    </row>
    <row r="104" spans="1:13" ht="15" customHeight="1" x14ac:dyDescent="0.3">
      <c r="A104" s="16" t="s">
        <v>120</v>
      </c>
      <c r="B104" s="16"/>
      <c r="C104" s="16"/>
      <c r="D104" s="16"/>
      <c r="E104" s="16"/>
      <c r="F104" s="16"/>
      <c r="G104" s="16"/>
      <c r="H104" s="16"/>
      <c r="I104" s="16"/>
      <c r="J104" s="16"/>
      <c r="K104" s="16"/>
      <c r="L104" s="16"/>
      <c r="M104" s="16"/>
    </row>
    <row r="105" spans="1:13" ht="15" customHeight="1" x14ac:dyDescent="0.3">
      <c r="A105" s="31" t="s">
        <v>121</v>
      </c>
      <c r="B105" s="31"/>
      <c r="C105" s="31"/>
      <c r="D105" s="31"/>
      <c r="E105" s="31" t="s">
        <v>122</v>
      </c>
      <c r="F105" s="31"/>
      <c r="G105" s="31" t="s">
        <v>123</v>
      </c>
      <c r="H105" s="31"/>
      <c r="I105" s="31" t="s">
        <v>124</v>
      </c>
      <c r="J105" s="31"/>
      <c r="K105" s="6" t="s">
        <v>125</v>
      </c>
      <c r="L105" s="6" t="s">
        <v>111</v>
      </c>
      <c r="M105" s="6" t="s">
        <v>126</v>
      </c>
    </row>
    <row r="106" spans="1:13" ht="19.5" customHeight="1" x14ac:dyDescent="0.3">
      <c r="A106" s="38" t="s">
        <v>127</v>
      </c>
      <c r="B106" s="38"/>
      <c r="C106" s="38"/>
      <c r="D106" s="38"/>
      <c r="E106" s="39" t="s">
        <v>128</v>
      </c>
      <c r="F106" s="39"/>
      <c r="G106" s="40"/>
      <c r="H106" s="40"/>
      <c r="I106" s="40"/>
      <c r="J106" s="40"/>
      <c r="K106" s="11"/>
      <c r="L106" s="11"/>
      <c r="M106" s="12"/>
    </row>
    <row r="107" spans="1:13" ht="19.5" customHeight="1" x14ac:dyDescent="0.3">
      <c r="A107" s="41" t="s">
        <v>129</v>
      </c>
      <c r="B107" s="41"/>
      <c r="C107" s="41"/>
      <c r="D107" s="41"/>
      <c r="E107" s="40" t="s">
        <v>130</v>
      </c>
      <c r="F107" s="40"/>
      <c r="G107" s="40"/>
      <c r="H107" s="40"/>
      <c r="I107" s="40"/>
      <c r="J107" s="40"/>
      <c r="K107" s="11"/>
      <c r="L107" s="11"/>
      <c r="M107" s="12"/>
    </row>
    <row r="108" spans="1:13" ht="19.5" customHeight="1" x14ac:dyDescent="0.3">
      <c r="A108" s="38" t="s">
        <v>131</v>
      </c>
      <c r="B108" s="38"/>
      <c r="C108" s="38"/>
      <c r="D108" s="38"/>
      <c r="E108" s="39" t="s">
        <v>130</v>
      </c>
      <c r="F108" s="39"/>
      <c r="G108" s="40"/>
      <c r="H108" s="40"/>
      <c r="I108" s="40"/>
      <c r="J108" s="40"/>
      <c r="K108" s="11"/>
      <c r="L108" s="11"/>
      <c r="M108" s="12"/>
    </row>
    <row r="109" spans="1:13" ht="19.5" customHeight="1" x14ac:dyDescent="0.3">
      <c r="A109" s="41" t="s">
        <v>132</v>
      </c>
      <c r="B109" s="41"/>
      <c r="C109" s="41"/>
      <c r="D109" s="41"/>
      <c r="E109" s="40" t="s">
        <v>130</v>
      </c>
      <c r="F109" s="40"/>
      <c r="G109" s="40"/>
      <c r="H109" s="40"/>
      <c r="I109" s="40"/>
      <c r="J109" s="40"/>
      <c r="K109" s="11"/>
      <c r="L109" s="11"/>
      <c r="M109" s="12"/>
    </row>
    <row r="110" spans="1:13" ht="19.5" customHeight="1" x14ac:dyDescent="0.3">
      <c r="A110" s="38" t="s">
        <v>133</v>
      </c>
      <c r="B110" s="38"/>
      <c r="C110" s="38"/>
      <c r="D110" s="38"/>
      <c r="E110" s="39" t="s">
        <v>130</v>
      </c>
      <c r="F110" s="39"/>
      <c r="G110" s="40"/>
      <c r="H110" s="40"/>
      <c r="I110" s="40"/>
      <c r="J110" s="40"/>
      <c r="K110" s="11"/>
      <c r="L110" s="11"/>
      <c r="M110" s="12"/>
    </row>
    <row r="111" spans="1:13" ht="19.5" customHeight="1" x14ac:dyDescent="0.3">
      <c r="A111" s="41" t="s">
        <v>134</v>
      </c>
      <c r="B111" s="41"/>
      <c r="C111" s="41"/>
      <c r="D111" s="41"/>
      <c r="E111" s="40" t="s">
        <v>135</v>
      </c>
      <c r="F111" s="40"/>
      <c r="G111" s="40"/>
      <c r="H111" s="40"/>
      <c r="I111" s="40"/>
      <c r="J111" s="40"/>
      <c r="K111" s="11"/>
      <c r="L111" s="11"/>
      <c r="M111" s="12"/>
    </row>
    <row r="113" spans="1:13" ht="15" customHeight="1" x14ac:dyDescent="0.3">
      <c r="A113" s="16" t="s">
        <v>136</v>
      </c>
      <c r="B113" s="16"/>
      <c r="C113" s="16"/>
      <c r="D113" s="16"/>
      <c r="E113" s="16"/>
      <c r="F113" s="16"/>
      <c r="G113" s="16"/>
      <c r="H113" s="16"/>
      <c r="I113" s="16"/>
      <c r="J113" s="16"/>
      <c r="K113" s="16"/>
      <c r="L113" s="16"/>
      <c r="M113" s="16"/>
    </row>
    <row r="114" spans="1:13" ht="21.75" customHeight="1" x14ac:dyDescent="0.3">
      <c r="A114" s="6" t="s">
        <v>98</v>
      </c>
      <c r="B114" s="31" t="s">
        <v>137</v>
      </c>
      <c r="C114" s="31"/>
      <c r="D114" s="31"/>
      <c r="E114" s="31" t="s">
        <v>138</v>
      </c>
      <c r="F114" s="31"/>
      <c r="G114" s="31"/>
      <c r="H114" s="31" t="s">
        <v>139</v>
      </c>
      <c r="I114" s="31"/>
      <c r="J114" s="6" t="s">
        <v>140</v>
      </c>
      <c r="K114" s="6" t="s">
        <v>111</v>
      </c>
      <c r="L114" s="31" t="s">
        <v>141</v>
      </c>
      <c r="M114" s="31"/>
    </row>
    <row r="115" spans="1:13" ht="21.75" customHeight="1" x14ac:dyDescent="0.3">
      <c r="A115" s="7">
        <v>1</v>
      </c>
      <c r="B115" s="34"/>
      <c r="C115" s="34"/>
      <c r="D115" s="34"/>
      <c r="E115" s="34"/>
      <c r="F115" s="34"/>
      <c r="G115" s="34"/>
      <c r="H115" s="32"/>
      <c r="I115" s="32"/>
      <c r="J115" s="7"/>
      <c r="K115" s="7"/>
      <c r="L115" s="32"/>
      <c r="M115" s="32"/>
    </row>
    <row r="116" spans="1:13" ht="21.75" customHeight="1" x14ac:dyDescent="0.3">
      <c r="A116" s="8">
        <v>2</v>
      </c>
      <c r="B116" s="36"/>
      <c r="C116" s="36"/>
      <c r="D116" s="36"/>
      <c r="E116" s="36"/>
      <c r="F116" s="36"/>
      <c r="G116" s="36"/>
      <c r="H116" s="33"/>
      <c r="I116" s="33"/>
      <c r="J116" s="8"/>
      <c r="K116" s="8"/>
      <c r="L116" s="33"/>
      <c r="M116" s="33"/>
    </row>
    <row r="117" spans="1:13" ht="21.75" customHeight="1" x14ac:dyDescent="0.3">
      <c r="A117" s="7">
        <v>3</v>
      </c>
      <c r="B117" s="34"/>
      <c r="C117" s="34"/>
      <c r="D117" s="34"/>
      <c r="E117" s="34"/>
      <c r="F117" s="34"/>
      <c r="G117" s="34"/>
      <c r="H117" s="32"/>
      <c r="I117" s="32"/>
      <c r="J117" s="7"/>
      <c r="K117" s="7"/>
      <c r="L117" s="32"/>
      <c r="M117" s="32"/>
    </row>
    <row r="118" spans="1:13" ht="21.75" customHeight="1" x14ac:dyDescent="0.3">
      <c r="A118" s="8">
        <v>4</v>
      </c>
      <c r="B118" s="36"/>
      <c r="C118" s="36"/>
      <c r="D118" s="36"/>
      <c r="E118" s="36"/>
      <c r="F118" s="36"/>
      <c r="G118" s="36"/>
      <c r="H118" s="33"/>
      <c r="I118" s="33"/>
      <c r="J118" s="8"/>
      <c r="K118" s="8"/>
      <c r="L118" s="33"/>
      <c r="M118" s="33"/>
    </row>
    <row r="119" spans="1:13" ht="21.75" customHeight="1" x14ac:dyDescent="0.3">
      <c r="A119" s="7">
        <v>5</v>
      </c>
      <c r="B119" s="34"/>
      <c r="C119" s="34"/>
      <c r="D119" s="34"/>
      <c r="E119" s="34"/>
      <c r="F119" s="34"/>
      <c r="G119" s="34"/>
      <c r="H119" s="32"/>
      <c r="I119" s="32"/>
      <c r="J119" s="7"/>
      <c r="K119" s="7"/>
      <c r="L119" s="32"/>
      <c r="M119" s="32"/>
    </row>
    <row r="121" spans="1:13" ht="15" customHeight="1" x14ac:dyDescent="0.3">
      <c r="A121" s="16" t="s">
        <v>142</v>
      </c>
      <c r="B121" s="16"/>
      <c r="C121" s="16"/>
      <c r="D121" s="16"/>
      <c r="E121" s="16"/>
      <c r="F121" s="16"/>
      <c r="G121" s="16"/>
      <c r="H121" s="16"/>
      <c r="I121" s="16"/>
      <c r="J121" s="16"/>
      <c r="K121" s="16"/>
      <c r="L121" s="16"/>
      <c r="M121" s="16"/>
    </row>
    <row r="122" spans="1:13" ht="19.5" customHeight="1" x14ac:dyDescent="0.3">
      <c r="A122" s="42" t="s">
        <v>143</v>
      </c>
      <c r="B122" s="42"/>
      <c r="C122" s="42"/>
      <c r="D122" s="42"/>
      <c r="E122" s="43"/>
      <c r="F122" s="43"/>
      <c r="G122" s="43"/>
      <c r="H122" s="43"/>
      <c r="I122" s="43"/>
      <c r="J122" s="43"/>
      <c r="K122" s="43"/>
      <c r="L122" s="43"/>
      <c r="M122" s="43"/>
    </row>
    <row r="123" spans="1:13" ht="19.5" customHeight="1" x14ac:dyDescent="0.3">
      <c r="A123" s="45"/>
      <c r="B123" s="45"/>
      <c r="C123" s="45"/>
      <c r="D123" s="45"/>
      <c r="E123" s="5"/>
    </row>
    <row r="124" spans="1:13" ht="19.5" customHeight="1" x14ac:dyDescent="0.3">
      <c r="A124" s="45"/>
      <c r="B124" s="45"/>
      <c r="C124" s="45"/>
      <c r="D124" s="45"/>
      <c r="E124" s="5"/>
    </row>
    <row r="125" spans="1:13" ht="19.5" customHeight="1" x14ac:dyDescent="0.3">
      <c r="A125" s="42" t="s">
        <v>144</v>
      </c>
      <c r="B125" s="42"/>
      <c r="C125" s="42"/>
      <c r="D125" s="42"/>
      <c r="E125" s="43"/>
      <c r="F125" s="43"/>
      <c r="G125" s="43"/>
      <c r="H125" s="43"/>
      <c r="I125" s="43"/>
      <c r="J125" s="43"/>
      <c r="K125" s="43"/>
      <c r="L125" s="43"/>
      <c r="M125" s="43"/>
    </row>
    <row r="126" spans="1:13" ht="19.5" customHeight="1" x14ac:dyDescent="0.3">
      <c r="A126" s="45"/>
      <c r="B126" s="45"/>
      <c r="C126" s="45"/>
      <c r="D126" s="45"/>
      <c r="E126" s="5"/>
    </row>
    <row r="127" spans="1:13" ht="19.5" customHeight="1" x14ac:dyDescent="0.3">
      <c r="A127" s="45"/>
      <c r="B127" s="45"/>
      <c r="C127" s="45"/>
      <c r="D127" s="45"/>
      <c r="E127" s="5"/>
    </row>
    <row r="128" spans="1:13" ht="19.5" customHeight="1" x14ac:dyDescent="0.3">
      <c r="A128" s="42" t="s">
        <v>145</v>
      </c>
      <c r="B128" s="42"/>
      <c r="C128" s="42"/>
      <c r="D128" s="42"/>
      <c r="E128" s="43"/>
      <c r="F128" s="43"/>
      <c r="G128" s="43"/>
      <c r="H128" s="43"/>
      <c r="I128" s="43"/>
      <c r="J128" s="43"/>
      <c r="K128" s="43"/>
      <c r="L128" s="43"/>
      <c r="M128" s="43"/>
    </row>
    <row r="129" spans="1:13" ht="19.5" customHeight="1" x14ac:dyDescent="0.3">
      <c r="A129" s="45"/>
      <c r="B129" s="45"/>
      <c r="C129" s="45"/>
      <c r="D129" s="45"/>
      <c r="E129" s="5"/>
    </row>
    <row r="130" spans="1:13" ht="19.5" customHeight="1" x14ac:dyDescent="0.3">
      <c r="A130" s="42" t="s">
        <v>146</v>
      </c>
      <c r="B130" s="42"/>
      <c r="C130" s="42"/>
      <c r="D130" s="42"/>
      <c r="E130" s="43"/>
      <c r="F130" s="43"/>
      <c r="G130" s="43"/>
      <c r="H130" s="43"/>
      <c r="I130" s="43"/>
      <c r="J130" s="43"/>
      <c r="K130" s="43"/>
      <c r="L130" s="43"/>
      <c r="M130" s="43"/>
    </row>
    <row r="131" spans="1:13" ht="19.5" customHeight="1" x14ac:dyDescent="0.3">
      <c r="A131" s="45"/>
      <c r="B131" s="45"/>
      <c r="C131" s="45"/>
      <c r="D131" s="45"/>
      <c r="E131" s="5"/>
    </row>
    <row r="132" spans="1:13" ht="19.5" customHeight="1" x14ac:dyDescent="0.3">
      <c r="A132" s="42" t="s">
        <v>147</v>
      </c>
      <c r="B132" s="42"/>
      <c r="C132" s="42"/>
      <c r="D132" s="42"/>
      <c r="E132" s="43"/>
      <c r="F132" s="43"/>
      <c r="G132" s="43"/>
      <c r="H132" s="43"/>
      <c r="I132" s="43"/>
      <c r="J132" s="43"/>
      <c r="K132" s="43"/>
      <c r="L132" s="43"/>
      <c r="M132" s="43"/>
    </row>
    <row r="133" spans="1:13" ht="19.5" customHeight="1" x14ac:dyDescent="0.3">
      <c r="A133" s="45"/>
      <c r="B133" s="45"/>
      <c r="C133" s="45"/>
      <c r="D133" s="45"/>
      <c r="E133" s="5"/>
    </row>
    <row r="134" spans="1:13" ht="19.5" customHeight="1" x14ac:dyDescent="0.3">
      <c r="A134" s="45"/>
      <c r="B134" s="45"/>
      <c r="C134" s="45"/>
      <c r="D134" s="45"/>
      <c r="E134" s="5"/>
    </row>
    <row r="135" spans="1:13" ht="19.5" customHeight="1" x14ac:dyDescent="0.3">
      <c r="A135" s="42" t="s">
        <v>148</v>
      </c>
      <c r="B135" s="42"/>
      <c r="C135" s="42"/>
      <c r="D135" s="42"/>
      <c r="E135" s="43"/>
      <c r="F135" s="43"/>
      <c r="G135" s="43"/>
      <c r="H135" s="43"/>
      <c r="I135" s="43"/>
      <c r="J135" s="43"/>
      <c r="K135" s="43"/>
      <c r="L135" s="43"/>
      <c r="M135" s="43"/>
    </row>
    <row r="136" spans="1:13" ht="19.5" customHeight="1" x14ac:dyDescent="0.3">
      <c r="A136" s="42" t="s">
        <v>149</v>
      </c>
      <c r="B136" s="42"/>
      <c r="C136" s="42"/>
      <c r="D136" s="42"/>
      <c r="E136" s="43"/>
      <c r="F136" s="43"/>
      <c r="G136" s="43"/>
      <c r="H136" s="43"/>
      <c r="I136" s="43"/>
      <c r="J136" s="43"/>
      <c r="K136" s="43"/>
      <c r="L136" s="43"/>
      <c r="M136" s="43"/>
    </row>
  </sheetData>
  <mergeCells count="281">
    <mergeCell ref="A131:D131"/>
    <mergeCell ref="A132:D132"/>
    <mergeCell ref="E132:M132"/>
    <mergeCell ref="A133:D133"/>
    <mergeCell ref="A134:D134"/>
    <mergeCell ref="A135:D135"/>
    <mergeCell ref="E135:M135"/>
    <mergeCell ref="A136:D136"/>
    <mergeCell ref="E136:M136"/>
    <mergeCell ref="A125:D125"/>
    <mergeCell ref="E125:M125"/>
    <mergeCell ref="A126:D126"/>
    <mergeCell ref="A127:D127"/>
    <mergeCell ref="A128:D128"/>
    <mergeCell ref="E128:M128"/>
    <mergeCell ref="A129:D129"/>
    <mergeCell ref="A130:D130"/>
    <mergeCell ref="E130:M130"/>
    <mergeCell ref="B119:D119"/>
    <mergeCell ref="E119:G119"/>
    <mergeCell ref="H119:I119"/>
    <mergeCell ref="L119:M119"/>
    <mergeCell ref="A121:M121"/>
    <mergeCell ref="A122:D122"/>
    <mergeCell ref="E122:M122"/>
    <mergeCell ref="A123:D123"/>
    <mergeCell ref="A124:D124"/>
    <mergeCell ref="B116:D116"/>
    <mergeCell ref="E116:G116"/>
    <mergeCell ref="H116:I116"/>
    <mergeCell ref="L116:M116"/>
    <mergeCell ref="B117:D117"/>
    <mergeCell ref="E117:G117"/>
    <mergeCell ref="H117:I117"/>
    <mergeCell ref="L117:M117"/>
    <mergeCell ref="B118:D118"/>
    <mergeCell ref="E118:G118"/>
    <mergeCell ref="H118:I118"/>
    <mergeCell ref="L118:M118"/>
    <mergeCell ref="A113:M113"/>
    <mergeCell ref="B114:D114"/>
    <mergeCell ref="E114:G114"/>
    <mergeCell ref="H114:I114"/>
    <mergeCell ref="L114:M114"/>
    <mergeCell ref="B115:D115"/>
    <mergeCell ref="E115:G115"/>
    <mergeCell ref="H115:I115"/>
    <mergeCell ref="L115:M115"/>
    <mergeCell ref="A109:D109"/>
    <mergeCell ref="E109:F109"/>
    <mergeCell ref="G109:H109"/>
    <mergeCell ref="I109:J109"/>
    <mergeCell ref="A110:D110"/>
    <mergeCell ref="E110:F110"/>
    <mergeCell ref="G110:H110"/>
    <mergeCell ref="I110:J110"/>
    <mergeCell ref="A111:D111"/>
    <mergeCell ref="E111:F111"/>
    <mergeCell ref="G111:H111"/>
    <mergeCell ref="I111:J111"/>
    <mergeCell ref="A106:D106"/>
    <mergeCell ref="E106:F106"/>
    <mergeCell ref="G106:H106"/>
    <mergeCell ref="I106:J106"/>
    <mergeCell ref="A107:D107"/>
    <mergeCell ref="E107:F107"/>
    <mergeCell ref="G107:H107"/>
    <mergeCell ref="I107:J107"/>
    <mergeCell ref="A108:D108"/>
    <mergeCell ref="E108:F108"/>
    <mergeCell ref="G108:H108"/>
    <mergeCell ref="I108:J108"/>
    <mergeCell ref="A101:C101"/>
    <mergeCell ref="E101:G101"/>
    <mergeCell ref="H101:I101"/>
    <mergeCell ref="A102:C102"/>
    <mergeCell ref="E102:G102"/>
    <mergeCell ref="H102:I102"/>
    <mergeCell ref="A104:M104"/>
    <mergeCell ref="A105:D105"/>
    <mergeCell ref="E105:F105"/>
    <mergeCell ref="G105:H105"/>
    <mergeCell ref="I105:J105"/>
    <mergeCell ref="A98:C98"/>
    <mergeCell ref="E98:G98"/>
    <mergeCell ref="H98:I98"/>
    <mergeCell ref="A99:C99"/>
    <mergeCell ref="E99:G99"/>
    <mergeCell ref="H99:I99"/>
    <mergeCell ref="A100:C100"/>
    <mergeCell ref="E100:G100"/>
    <mergeCell ref="H100:I100"/>
    <mergeCell ref="A95:C95"/>
    <mergeCell ref="E95:G95"/>
    <mergeCell ref="H95:I95"/>
    <mergeCell ref="A96:C96"/>
    <mergeCell ref="E96:G96"/>
    <mergeCell ref="H96:I96"/>
    <mergeCell ref="A97:C97"/>
    <mergeCell ref="E97:G97"/>
    <mergeCell ref="H97:I97"/>
    <mergeCell ref="A91:M91"/>
    <mergeCell ref="A92:C92"/>
    <mergeCell ref="E92:G92"/>
    <mergeCell ref="H92:I92"/>
    <mergeCell ref="A93:C93"/>
    <mergeCell ref="E93:G93"/>
    <mergeCell ref="H93:I93"/>
    <mergeCell ref="A94:C94"/>
    <mergeCell ref="E94:G94"/>
    <mergeCell ref="H94:I94"/>
    <mergeCell ref="A88:B88"/>
    <mergeCell ref="C88:D88"/>
    <mergeCell ref="E88:F88"/>
    <mergeCell ref="G88:K88"/>
    <mergeCell ref="L88:M88"/>
    <mergeCell ref="A89:B89"/>
    <mergeCell ref="C89:D89"/>
    <mergeCell ref="E89:F89"/>
    <mergeCell ref="G89:K89"/>
    <mergeCell ref="L89:M89"/>
    <mergeCell ref="A86:B86"/>
    <mergeCell ref="C86:D86"/>
    <mergeCell ref="E86:F86"/>
    <mergeCell ref="G86:K86"/>
    <mergeCell ref="L86:M86"/>
    <mergeCell ref="A87:B87"/>
    <mergeCell ref="C87:D87"/>
    <mergeCell ref="E87:F87"/>
    <mergeCell ref="G87:K87"/>
    <mergeCell ref="L87:M87"/>
    <mergeCell ref="A84:B84"/>
    <mergeCell ref="C84:D84"/>
    <mergeCell ref="E84:F84"/>
    <mergeCell ref="G84:K84"/>
    <mergeCell ref="L84:M84"/>
    <mergeCell ref="A85:B85"/>
    <mergeCell ref="C85:D85"/>
    <mergeCell ref="E85:F85"/>
    <mergeCell ref="G85:K85"/>
    <mergeCell ref="L85:M85"/>
    <mergeCell ref="A82:B82"/>
    <mergeCell ref="C82:D82"/>
    <mergeCell ref="E82:F82"/>
    <mergeCell ref="G82:K82"/>
    <mergeCell ref="L82:M82"/>
    <mergeCell ref="A83:B83"/>
    <mergeCell ref="C83:D83"/>
    <mergeCell ref="E83:F83"/>
    <mergeCell ref="G83:K83"/>
    <mergeCell ref="L83:M83"/>
    <mergeCell ref="A80:B80"/>
    <mergeCell ref="C80:D80"/>
    <mergeCell ref="E80:F80"/>
    <mergeCell ref="G80:K80"/>
    <mergeCell ref="L80:M80"/>
    <mergeCell ref="A81:B81"/>
    <mergeCell ref="C81:D81"/>
    <mergeCell ref="E81:F81"/>
    <mergeCell ref="G81:K81"/>
    <mergeCell ref="L81:M81"/>
    <mergeCell ref="H71:J71"/>
    <mergeCell ref="H72:J72"/>
    <mergeCell ref="H73:J73"/>
    <mergeCell ref="H74:J74"/>
    <mergeCell ref="H75:J75"/>
    <mergeCell ref="A76:F76"/>
    <mergeCell ref="A78:M78"/>
    <mergeCell ref="A79:B79"/>
    <mergeCell ref="C79:D79"/>
    <mergeCell ref="E79:F79"/>
    <mergeCell ref="G79:K79"/>
    <mergeCell ref="L79:M79"/>
    <mergeCell ref="H62:J62"/>
    <mergeCell ref="H63:J63"/>
    <mergeCell ref="H64:J64"/>
    <mergeCell ref="H65:J65"/>
    <mergeCell ref="H66:J66"/>
    <mergeCell ref="H67:J67"/>
    <mergeCell ref="H68:J68"/>
    <mergeCell ref="H69:J69"/>
    <mergeCell ref="H70:J70"/>
    <mergeCell ref="H53:J53"/>
    <mergeCell ref="H54:J54"/>
    <mergeCell ref="H55:J55"/>
    <mergeCell ref="H56:J56"/>
    <mergeCell ref="H57:J57"/>
    <mergeCell ref="H58:J58"/>
    <mergeCell ref="H59:J59"/>
    <mergeCell ref="H60:J60"/>
    <mergeCell ref="H61:J61"/>
    <mergeCell ref="H44:J44"/>
    <mergeCell ref="H45:J45"/>
    <mergeCell ref="H46:J46"/>
    <mergeCell ref="H47:J47"/>
    <mergeCell ref="H48:J48"/>
    <mergeCell ref="H49:J49"/>
    <mergeCell ref="H50:J50"/>
    <mergeCell ref="H51:J51"/>
    <mergeCell ref="H52:J52"/>
    <mergeCell ref="H35:J35"/>
    <mergeCell ref="H36:J36"/>
    <mergeCell ref="H37:J37"/>
    <mergeCell ref="H38:J38"/>
    <mergeCell ref="H39:J39"/>
    <mergeCell ref="H40:J40"/>
    <mergeCell ref="H41:J41"/>
    <mergeCell ref="H42:J42"/>
    <mergeCell ref="H43:J43"/>
    <mergeCell ref="A31:D31"/>
    <mergeCell ref="E31:F31"/>
    <mergeCell ref="H31:K31"/>
    <mergeCell ref="L31:M31"/>
    <mergeCell ref="A32:D32"/>
    <mergeCell ref="E32:F32"/>
    <mergeCell ref="H32:K32"/>
    <mergeCell ref="L32:M32"/>
    <mergeCell ref="A34:M34"/>
    <mergeCell ref="A28:M28"/>
    <mergeCell ref="A29:D29"/>
    <mergeCell ref="E29:F29"/>
    <mergeCell ref="H29:K29"/>
    <mergeCell ref="L29:M29"/>
    <mergeCell ref="A30:D30"/>
    <mergeCell ref="E30:F30"/>
    <mergeCell ref="H30:K30"/>
    <mergeCell ref="L30:M30"/>
    <mergeCell ref="A24:D24"/>
    <mergeCell ref="E24:G24"/>
    <mergeCell ref="H24:M24"/>
    <mergeCell ref="A25:D25"/>
    <mergeCell ref="E25:G25"/>
    <mergeCell ref="H25:M25"/>
    <mergeCell ref="A26:D26"/>
    <mergeCell ref="E26:G26"/>
    <mergeCell ref="H26:M26"/>
    <mergeCell ref="A21:D21"/>
    <mergeCell ref="E21:G21"/>
    <mergeCell ref="H21:M21"/>
    <mergeCell ref="A22:D22"/>
    <mergeCell ref="E22:G22"/>
    <mergeCell ref="H22:M22"/>
    <mergeCell ref="A23:D23"/>
    <mergeCell ref="E23:G23"/>
    <mergeCell ref="H23:M23"/>
    <mergeCell ref="A18:D18"/>
    <mergeCell ref="E18:G18"/>
    <mergeCell ref="H18:M18"/>
    <mergeCell ref="A19:D19"/>
    <mergeCell ref="E19:G19"/>
    <mergeCell ref="H19:M19"/>
    <mergeCell ref="A20:D20"/>
    <mergeCell ref="E20:G20"/>
    <mergeCell ref="H20:M20"/>
    <mergeCell ref="A15:D15"/>
    <mergeCell ref="E15:G15"/>
    <mergeCell ref="H15:M15"/>
    <mergeCell ref="A16:D16"/>
    <mergeCell ref="E16:G16"/>
    <mergeCell ref="H16:M16"/>
    <mergeCell ref="A17:D17"/>
    <mergeCell ref="E17:G17"/>
    <mergeCell ref="H17:M17"/>
    <mergeCell ref="A9:C9"/>
    <mergeCell ref="D9:M9"/>
    <mergeCell ref="A10:C10"/>
    <mergeCell ref="D10:M10"/>
    <mergeCell ref="A11:C11"/>
    <mergeCell ref="D11:M11"/>
    <mergeCell ref="A12:C12"/>
    <mergeCell ref="D12:M12"/>
    <mergeCell ref="A14:M14"/>
    <mergeCell ref="A2:M2"/>
    <mergeCell ref="A3:M3"/>
    <mergeCell ref="A5:M5"/>
    <mergeCell ref="A6:C6"/>
    <mergeCell ref="D6:M6"/>
    <mergeCell ref="A7:C7"/>
    <mergeCell ref="D7:M7"/>
    <mergeCell ref="A8:C8"/>
    <mergeCell ref="D8:M8"/>
  </mergeCells>
  <dataValidations count="13">
    <dataValidation type="list" allowBlank="1" sqref="E36:E75" xr:uid="{00000000-0002-0000-0100-000000000000}">
      <formula1>"Operational,Corrective CR,Requirement,Implementation,Testing,Documentation,Meeting,BD Activity"</formula1>
      <formula2>0</formula2>
    </dataValidation>
    <dataValidation type="list" allowBlank="1" sqref="F36:F75" xr:uid="{00000000-0002-0000-0100-000001000000}">
      <formula1>"ERP 7.4,SPINRISE,SPINNOVA,Internal"</formula1>
      <formula2>0</formula2>
    </dataValidation>
    <dataValidation type="list" allowBlank="1" sqref="K36:K75" xr:uid="{00000000-0002-0000-0100-000002000000}">
      <formula1>"Completed,In Progress,Pending,Carry Forward"</formula1>
      <formula2>0</formula2>
    </dataValidation>
    <dataValidation type="list" allowBlank="1" sqref="L36:L75" xr:uid="{00000000-0002-0000-0100-000003000000}">
      <formula1>"Low,Medium,High"</formula1>
      <formula2>0</formula2>
    </dataValidation>
    <dataValidation type="list" allowBlank="1" sqref="M36:M75" xr:uid="{00000000-0002-0000-0100-000004000000}">
      <formula1>"Claude,ChatGPT,Gemini,DeepSeek,Multiple,None"</formula1>
      <formula2>0</formula2>
    </dataValidation>
    <dataValidation type="list" allowBlank="1" sqref="A80:A89" xr:uid="{00000000-0002-0000-0100-000005000000}">
      <formula1>"Client On-Site Visit,Remote Demo,Pre-Sales Visit,Internal Meeting,Training Session,RSD Preparation,BD Activity,Documentation"</formula1>
      <formula2>0</formula2>
    </dataValidation>
    <dataValidation type="list" allowBlank="1" sqref="L80:L89 K115:K119" xr:uid="{00000000-0002-0000-0100-000006000000}">
      <formula1>"Completed,In Progress,Planned"</formula1>
      <formula2>0</formula2>
    </dataValidation>
    <dataValidation type="list" allowBlank="1" sqref="H93:H102" xr:uid="{00000000-0002-0000-0100-000007000000}">
      <formula1>"Lead,Demo Scheduled,Demo Done,Offer Sent,Negotiation,Won,Lost,On Hold"</formula1>
      <formula2>0</formula2>
    </dataValidation>
    <dataValidation type="list" allowBlank="1" sqref="J93:K102" xr:uid="{00000000-0002-0000-0100-000008000000}">
      <formula1>"Yes,No"</formula1>
      <formula2>0</formula2>
    </dataValidation>
    <dataValidation type="list" allowBlank="1" sqref="D93:D102" xr:uid="{00000000-0002-0000-0100-000009000000}">
      <formula1>"Spinning Mill,Paper Mill,Both"</formula1>
      <formula2>0</formula2>
    </dataValidation>
    <dataValidation type="list" allowBlank="1" sqref="K106:K111" xr:uid="{00000000-0002-0000-0100-00000A000000}">
      <formula1>"Yes,No,Partial"</formula1>
      <formula2>0</formula2>
    </dataValidation>
    <dataValidation type="list" allowBlank="1" sqref="L106:L111" xr:uid="{00000000-0002-0000-0100-00000B000000}">
      <formula1>"Completed,Partially Submitted,Missed"</formula1>
      <formula2>0</formula2>
    </dataValidation>
    <dataValidation type="list" allowBlank="1" sqref="B115:B119" xr:uid="{00000000-0002-0000-0100-00000C000000}">
      <formula1>"AI / LLM Tools,ERP Domain – Spinning,ERP Domain – Paper Mill,SpinRise Module Knowledge,SpinNova Use Case Knowledge,ASP.NET Core / React.js,SQL Server / DB Tuning,VB6 / Legacy ERP,Certification / Course,Other"</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sheetPr>
  <dimension ref="A2:M125"/>
  <sheetViews>
    <sheetView tabSelected="1" zoomScaleNormal="100" workbookViewId="0">
      <pane xSplit="1" ySplit="5" topLeftCell="B114" activePane="bottomRight" state="frozen"/>
      <selection pane="topRight" activeCell="B1" sqref="B1"/>
      <selection pane="bottomLeft" activeCell="A6" sqref="A6"/>
      <selection pane="bottomRight" activeCell="A121" sqref="A121:D121"/>
    </sheetView>
  </sheetViews>
  <sheetFormatPr defaultColWidth="8.6640625" defaultRowHeight="14.4" x14ac:dyDescent="0.3"/>
  <cols>
    <col min="1" max="1" width="4" customWidth="1"/>
    <col min="2" max="2" width="22" customWidth="1"/>
    <col min="3" max="3" width="18" customWidth="1"/>
    <col min="4" max="6" width="14" customWidth="1"/>
    <col min="7" max="7" width="5.21875" bestFit="1" customWidth="1"/>
    <col min="8" max="9" width="22" customWidth="1"/>
    <col min="10" max="12" width="14" customWidth="1"/>
    <col min="13" max="13" width="7.6640625" bestFit="1" customWidth="1"/>
    <col min="15" max="15" width="16.109375" bestFit="1" customWidth="1"/>
  </cols>
  <sheetData>
    <row r="2" spans="1:13" ht="36" customHeight="1" x14ac:dyDescent="0.3">
      <c r="A2" s="14" t="s">
        <v>48</v>
      </c>
      <c r="B2" s="14"/>
      <c r="C2" s="14"/>
      <c r="D2" s="14"/>
      <c r="E2" s="14"/>
      <c r="F2" s="14"/>
      <c r="G2" s="14"/>
      <c r="H2" s="14"/>
      <c r="I2" s="14"/>
      <c r="J2" s="14"/>
      <c r="K2" s="14"/>
      <c r="L2" s="14"/>
      <c r="M2" s="14"/>
    </row>
    <row r="3" spans="1:13" ht="19.5" customHeight="1" x14ac:dyDescent="0.3">
      <c r="A3" s="15" t="s">
        <v>150</v>
      </c>
      <c r="B3" s="15"/>
      <c r="C3" s="15"/>
      <c r="D3" s="15"/>
      <c r="E3" s="15"/>
      <c r="F3" s="15"/>
      <c r="G3" s="15"/>
      <c r="H3" s="15"/>
      <c r="I3" s="15"/>
      <c r="J3" s="15"/>
      <c r="K3" s="15"/>
      <c r="L3" s="15"/>
      <c r="M3" s="15"/>
    </row>
    <row r="5" spans="1:13" ht="15" customHeight="1" x14ac:dyDescent="0.3">
      <c r="A5" s="16" t="s">
        <v>50</v>
      </c>
      <c r="B5" s="16"/>
      <c r="C5" s="16"/>
      <c r="D5" s="16"/>
      <c r="E5" s="16"/>
      <c r="F5" s="16"/>
      <c r="G5" s="16"/>
      <c r="H5" s="16"/>
      <c r="I5" s="16"/>
      <c r="J5" s="16"/>
      <c r="K5" s="16"/>
      <c r="L5" s="16"/>
      <c r="M5" s="16"/>
    </row>
    <row r="6" spans="1:13" ht="15" customHeight="1" x14ac:dyDescent="0.3">
      <c r="A6" s="17" t="s">
        <v>51</v>
      </c>
      <c r="B6" s="17"/>
      <c r="C6" s="17"/>
      <c r="D6" s="18" t="s">
        <v>187</v>
      </c>
      <c r="E6" s="18"/>
      <c r="F6" s="18"/>
      <c r="G6" s="18"/>
      <c r="H6" s="18"/>
      <c r="I6" s="18"/>
      <c r="J6" s="18"/>
      <c r="K6" s="18"/>
      <c r="L6" s="18"/>
      <c r="M6" s="18"/>
    </row>
    <row r="7" spans="1:13" ht="15" customHeight="1" x14ac:dyDescent="0.3">
      <c r="A7" s="17" t="s">
        <v>52</v>
      </c>
      <c r="B7" s="17"/>
      <c r="C7" s="17"/>
      <c r="D7" s="18"/>
      <c r="E7" s="18"/>
      <c r="F7" s="18"/>
      <c r="G7" s="18"/>
      <c r="H7" s="18"/>
      <c r="I7" s="18"/>
      <c r="J7" s="18"/>
      <c r="K7" s="18"/>
      <c r="L7" s="18"/>
      <c r="M7" s="18"/>
    </row>
    <row r="8" spans="1:13" ht="15" customHeight="1" x14ac:dyDescent="0.3">
      <c r="A8" s="17" t="s">
        <v>53</v>
      </c>
      <c r="B8" s="17"/>
      <c r="C8" s="17"/>
      <c r="D8" s="18" t="s">
        <v>188</v>
      </c>
      <c r="E8" s="18"/>
      <c r="F8" s="18"/>
      <c r="G8" s="18"/>
      <c r="H8" s="18"/>
      <c r="I8" s="18"/>
      <c r="J8" s="18"/>
      <c r="K8" s="18"/>
      <c r="L8" s="18"/>
      <c r="M8" s="18"/>
    </row>
    <row r="9" spans="1:13" ht="15" customHeight="1" x14ac:dyDescent="0.3">
      <c r="A9" s="17" t="s">
        <v>54</v>
      </c>
      <c r="B9" s="17"/>
      <c r="C9" s="17"/>
      <c r="D9" s="18" t="s">
        <v>189</v>
      </c>
      <c r="E9" s="18"/>
      <c r="F9" s="18"/>
      <c r="G9" s="18"/>
      <c r="H9" s="18"/>
      <c r="I9" s="18"/>
      <c r="J9" s="18"/>
      <c r="K9" s="18"/>
      <c r="L9" s="18"/>
      <c r="M9" s="18"/>
    </row>
    <row r="10" spans="1:13" ht="15" customHeight="1" x14ac:dyDescent="0.3">
      <c r="A10" s="17" t="s">
        <v>56</v>
      </c>
      <c r="B10" s="17"/>
      <c r="C10" s="17"/>
      <c r="D10" s="18" t="s">
        <v>190</v>
      </c>
      <c r="E10" s="18"/>
      <c r="F10" s="18"/>
      <c r="G10" s="18"/>
      <c r="H10" s="18"/>
      <c r="I10" s="18"/>
      <c r="J10" s="18"/>
      <c r="K10" s="18"/>
      <c r="L10" s="18"/>
      <c r="M10" s="18"/>
    </row>
    <row r="11" spans="1:13" ht="15" customHeight="1" x14ac:dyDescent="0.3">
      <c r="A11" s="17" t="s">
        <v>58</v>
      </c>
      <c r="B11" s="17"/>
      <c r="C11" s="17"/>
      <c r="D11" s="18" t="s">
        <v>191</v>
      </c>
      <c r="E11" s="18"/>
      <c r="F11" s="18"/>
      <c r="G11" s="18"/>
      <c r="H11" s="18"/>
      <c r="I11" s="18"/>
      <c r="J11" s="18"/>
      <c r="K11" s="18"/>
      <c r="L11" s="18"/>
      <c r="M11" s="18"/>
    </row>
    <row r="12" spans="1:13" ht="15" customHeight="1" x14ac:dyDescent="0.3">
      <c r="A12" s="17" t="s">
        <v>60</v>
      </c>
      <c r="B12" s="17"/>
      <c r="C12" s="17"/>
      <c r="D12" s="19">
        <v>46146</v>
      </c>
      <c r="E12" s="18"/>
      <c r="F12" s="18"/>
      <c r="G12" s="18"/>
      <c r="H12" s="18"/>
      <c r="I12" s="18"/>
      <c r="J12" s="18"/>
      <c r="K12" s="18"/>
      <c r="L12" s="18"/>
      <c r="M12" s="18"/>
    </row>
    <row r="14" spans="1:13" ht="15" customHeight="1" x14ac:dyDescent="0.3">
      <c r="A14" s="16" t="s">
        <v>62</v>
      </c>
      <c r="B14" s="16"/>
      <c r="C14" s="16"/>
      <c r="D14" s="16"/>
      <c r="E14" s="16"/>
      <c r="F14" s="16"/>
      <c r="G14" s="16"/>
      <c r="H14" s="16"/>
      <c r="I14" s="16"/>
      <c r="J14" s="16"/>
      <c r="K14" s="16"/>
      <c r="L14" s="16"/>
      <c r="M14" s="16"/>
    </row>
    <row r="15" spans="1:13" ht="15" customHeight="1" x14ac:dyDescent="0.3">
      <c r="A15" s="20" t="s">
        <v>63</v>
      </c>
      <c r="B15" s="20"/>
      <c r="C15" s="20"/>
      <c r="D15" s="20"/>
      <c r="E15" s="20" t="s">
        <v>64</v>
      </c>
      <c r="F15" s="20"/>
      <c r="G15" s="20"/>
      <c r="H15" s="20" t="s">
        <v>65</v>
      </c>
      <c r="I15" s="20"/>
      <c r="J15" s="20"/>
      <c r="K15" s="20"/>
      <c r="L15" s="20"/>
      <c r="M15" s="20"/>
    </row>
    <row r="16" spans="1:13" ht="18" customHeight="1" x14ac:dyDescent="0.3">
      <c r="A16" s="21" t="s">
        <v>66</v>
      </c>
      <c r="B16" s="21"/>
      <c r="C16" s="21"/>
      <c r="D16" s="21"/>
      <c r="E16" s="22">
        <v>30</v>
      </c>
      <c r="F16" s="22"/>
      <c r="G16" s="22"/>
      <c r="H16" s="23" t="s">
        <v>67</v>
      </c>
      <c r="I16" s="23"/>
      <c r="J16" s="23"/>
      <c r="K16" s="23"/>
      <c r="L16" s="23"/>
      <c r="M16" s="23"/>
    </row>
    <row r="17" spans="1:13" ht="18" customHeight="1" x14ac:dyDescent="0.3">
      <c r="A17" s="21" t="s">
        <v>68</v>
      </c>
      <c r="B17" s="21"/>
      <c r="C17" s="21"/>
      <c r="D17" s="21"/>
      <c r="E17" s="22">
        <v>7</v>
      </c>
      <c r="F17" s="22"/>
      <c r="G17" s="22"/>
      <c r="H17" s="23" t="s">
        <v>69</v>
      </c>
      <c r="I17" s="23"/>
      <c r="J17" s="23"/>
      <c r="K17" s="23"/>
      <c r="L17" s="23"/>
      <c r="M17" s="23"/>
    </row>
    <row r="18" spans="1:13" ht="18" customHeight="1" x14ac:dyDescent="0.3">
      <c r="A18" s="17" t="s">
        <v>70</v>
      </c>
      <c r="B18" s="17"/>
      <c r="C18" s="17"/>
      <c r="D18" s="17"/>
      <c r="E18" s="24">
        <v>23</v>
      </c>
      <c r="F18" s="24"/>
      <c r="G18" s="24"/>
      <c r="H18" s="23" t="s">
        <v>71</v>
      </c>
      <c r="I18" s="23"/>
      <c r="J18" s="23"/>
      <c r="K18" s="23"/>
      <c r="L18" s="23"/>
      <c r="M18" s="23"/>
    </row>
    <row r="19" spans="1:13" ht="18" customHeight="1" x14ac:dyDescent="0.3">
      <c r="A19" s="21" t="s">
        <v>72</v>
      </c>
      <c r="B19" s="21"/>
      <c r="C19" s="21"/>
      <c r="D19" s="21"/>
      <c r="E19" s="22">
        <v>22.5</v>
      </c>
      <c r="F19" s="22"/>
      <c r="G19" s="22"/>
      <c r="H19" s="23" t="s">
        <v>73</v>
      </c>
      <c r="I19" s="23"/>
      <c r="J19" s="23"/>
      <c r="K19" s="23"/>
      <c r="L19" s="23"/>
      <c r="M19" s="23"/>
    </row>
    <row r="20" spans="1:13" ht="18" customHeight="1" x14ac:dyDescent="0.3">
      <c r="A20" s="21" t="s">
        <v>74</v>
      </c>
      <c r="B20" s="21"/>
      <c r="C20" s="21"/>
      <c r="D20" s="21"/>
      <c r="E20" s="22">
        <v>0.5</v>
      </c>
      <c r="F20" s="22"/>
      <c r="G20" s="22"/>
      <c r="H20" s="23" t="s">
        <v>75</v>
      </c>
      <c r="I20" s="23"/>
      <c r="J20" s="23"/>
      <c r="K20" s="23"/>
      <c r="L20" s="23"/>
      <c r="M20" s="23"/>
    </row>
    <row r="21" spans="1:13" ht="18" customHeight="1" x14ac:dyDescent="0.3">
      <c r="A21" s="21" t="s">
        <v>76</v>
      </c>
      <c r="B21" s="21"/>
      <c r="C21" s="21"/>
      <c r="D21" s="21"/>
      <c r="E21" s="22">
        <v>0</v>
      </c>
      <c r="F21" s="22"/>
      <c r="G21" s="22"/>
      <c r="H21" s="23" t="s">
        <v>77</v>
      </c>
      <c r="I21" s="23"/>
      <c r="J21" s="23"/>
      <c r="K21" s="23"/>
      <c r="L21" s="23"/>
      <c r="M21" s="23"/>
    </row>
    <row r="22" spans="1:13" ht="18" customHeight="1" x14ac:dyDescent="0.3">
      <c r="A22" s="21" t="s">
        <v>78</v>
      </c>
      <c r="B22" s="21"/>
      <c r="C22" s="21"/>
      <c r="D22" s="21"/>
      <c r="E22" s="22">
        <v>0</v>
      </c>
      <c r="F22" s="22"/>
      <c r="G22" s="22"/>
      <c r="H22" s="23" t="s">
        <v>79</v>
      </c>
      <c r="I22" s="23"/>
      <c r="J22" s="23"/>
      <c r="K22" s="23"/>
      <c r="L22" s="23"/>
      <c r="M22" s="23"/>
    </row>
    <row r="23" spans="1:13" ht="18" customHeight="1" x14ac:dyDescent="0.3">
      <c r="A23" s="17" t="s">
        <v>80</v>
      </c>
      <c r="B23" s="17"/>
      <c r="C23" s="17"/>
      <c r="D23" s="17"/>
      <c r="E23" s="24">
        <f>IF(AND(ISNUMBER(E19),ISNUMBER(E21)),E19-E21,"")</f>
        <v>22.5</v>
      </c>
      <c r="F23" s="24"/>
      <c r="G23" s="24"/>
      <c r="H23" s="23" t="s">
        <v>81</v>
      </c>
      <c r="I23" s="23"/>
      <c r="J23" s="23"/>
      <c r="K23" s="23"/>
      <c r="L23" s="23"/>
      <c r="M23" s="23"/>
    </row>
    <row r="24" spans="1:13" ht="18" customHeight="1" x14ac:dyDescent="0.3">
      <c r="A24" s="17" t="s">
        <v>82</v>
      </c>
      <c r="B24" s="17"/>
      <c r="C24" s="17"/>
      <c r="D24" s="17"/>
      <c r="E24" s="25">
        <f>IF(AND(ISNUMBER(E18),E18&gt;0),E19/E18,"")</f>
        <v>0.97826086956521741</v>
      </c>
      <c r="F24" s="25"/>
      <c r="G24" s="25"/>
      <c r="H24" s="23" t="s">
        <v>83</v>
      </c>
      <c r="I24" s="23"/>
      <c r="J24" s="23"/>
      <c r="K24" s="23"/>
      <c r="L24" s="23"/>
      <c r="M24" s="23"/>
    </row>
    <row r="25" spans="1:13" ht="18" customHeight="1" x14ac:dyDescent="0.3">
      <c r="A25" s="21" t="s">
        <v>84</v>
      </c>
      <c r="B25" s="21"/>
      <c r="C25" s="21"/>
      <c r="D25" s="21"/>
      <c r="E25" s="22">
        <v>9</v>
      </c>
      <c r="F25" s="22"/>
      <c r="G25" s="22"/>
      <c r="H25" s="23" t="s">
        <v>85</v>
      </c>
      <c r="I25" s="23"/>
      <c r="J25" s="23"/>
      <c r="K25" s="23"/>
      <c r="L25" s="23"/>
      <c r="M25" s="23"/>
    </row>
    <row r="26" spans="1:13" ht="19.5" customHeight="1" x14ac:dyDescent="0.3">
      <c r="A26" s="26" t="s">
        <v>86</v>
      </c>
      <c r="B26" s="26"/>
      <c r="C26" s="26"/>
      <c r="D26" s="26"/>
      <c r="E26" s="27" t="str">
        <f>IF(AND(ISNUMBER(E16),ISNUMBER(E17),ISNUMBER(E18),ISNUMBER(E20),ISNUMBER(E21)),IF(E16=(E19+E17+E20+E21),"OK - Submit","MISMATCH - Review"),"Fill B1 to B6 first")</f>
        <v>OK - Submit</v>
      </c>
      <c r="F26" s="27"/>
      <c r="G26" s="27"/>
      <c r="H26" s="28" t="s">
        <v>87</v>
      </c>
      <c r="I26" s="28"/>
      <c r="J26" s="28"/>
      <c r="K26" s="28"/>
      <c r="L26" s="28"/>
      <c r="M26" s="28"/>
    </row>
    <row r="28" spans="1:13" ht="15" customHeight="1" x14ac:dyDescent="0.3">
      <c r="A28" s="29" t="s">
        <v>88</v>
      </c>
      <c r="B28" s="29"/>
      <c r="C28" s="29"/>
      <c r="D28" s="29"/>
      <c r="E28" s="29"/>
      <c r="F28" s="29"/>
      <c r="G28" s="29"/>
      <c r="H28" s="29"/>
      <c r="I28" s="29"/>
      <c r="J28" s="29"/>
      <c r="K28" s="29"/>
      <c r="L28" s="29"/>
      <c r="M28" s="29"/>
    </row>
    <row r="29" spans="1:13" ht="21.75" customHeight="1" x14ac:dyDescent="0.3">
      <c r="A29" s="17" t="s">
        <v>151</v>
      </c>
      <c r="B29" s="17"/>
      <c r="C29" s="17"/>
      <c r="D29" s="17"/>
      <c r="E29" s="30"/>
      <c r="F29" s="30"/>
      <c r="G29" s="5"/>
      <c r="H29" s="17" t="s">
        <v>152</v>
      </c>
      <c r="I29" s="17"/>
      <c r="J29" s="17"/>
      <c r="K29" s="17"/>
      <c r="L29" s="30"/>
      <c r="M29" s="30"/>
    </row>
    <row r="30" spans="1:13" ht="21.75" customHeight="1" x14ac:dyDescent="0.3">
      <c r="A30" s="17" t="s">
        <v>153</v>
      </c>
      <c r="B30" s="17"/>
      <c r="C30" s="17"/>
      <c r="D30" s="17"/>
      <c r="E30" s="30"/>
      <c r="F30" s="30"/>
      <c r="G30" s="5"/>
      <c r="H30" s="17" t="s">
        <v>154</v>
      </c>
      <c r="I30" s="17"/>
      <c r="J30" s="17"/>
      <c r="K30" s="17"/>
      <c r="L30" s="30"/>
      <c r="M30" s="30"/>
    </row>
    <row r="31" spans="1:13" ht="21.75" customHeight="1" x14ac:dyDescent="0.3">
      <c r="A31" s="17" t="s">
        <v>155</v>
      </c>
      <c r="B31" s="17"/>
      <c r="C31" s="17"/>
      <c r="D31" s="17"/>
      <c r="E31" s="30"/>
      <c r="F31" s="30"/>
      <c r="G31" s="5"/>
      <c r="H31" s="17" t="s">
        <v>156</v>
      </c>
      <c r="I31" s="17"/>
      <c r="J31" s="17"/>
      <c r="K31" s="17"/>
      <c r="L31" s="30"/>
      <c r="M31" s="30"/>
    </row>
    <row r="32" spans="1:13" ht="21.75" customHeight="1" x14ac:dyDescent="0.3">
      <c r="A32" s="17" t="s">
        <v>157</v>
      </c>
      <c r="B32" s="17"/>
      <c r="C32" s="17"/>
      <c r="D32" s="17"/>
      <c r="E32" s="30"/>
      <c r="F32" s="30"/>
      <c r="G32" s="5"/>
      <c r="H32" s="17" t="s">
        <v>158</v>
      </c>
      <c r="I32" s="17"/>
      <c r="J32" s="17"/>
      <c r="K32" s="17"/>
      <c r="L32" s="30"/>
      <c r="M32" s="30"/>
    </row>
    <row r="34" spans="1:13" ht="15" customHeight="1" x14ac:dyDescent="0.3">
      <c r="A34" s="16" t="s">
        <v>159</v>
      </c>
      <c r="B34" s="16"/>
      <c r="C34" s="16"/>
      <c r="D34" s="16"/>
      <c r="E34" s="16"/>
      <c r="F34" s="16"/>
      <c r="G34" s="16"/>
      <c r="H34" s="16"/>
      <c r="I34" s="16"/>
      <c r="J34" s="16"/>
      <c r="K34" s="16"/>
      <c r="L34" s="16"/>
      <c r="M34" s="16"/>
    </row>
    <row r="35" spans="1:13" ht="21.75" customHeight="1" x14ac:dyDescent="0.3">
      <c r="A35" s="6" t="s">
        <v>98</v>
      </c>
      <c r="B35" s="6" t="s">
        <v>160</v>
      </c>
      <c r="C35" s="6" t="s">
        <v>100</v>
      </c>
      <c r="D35" s="6" t="s">
        <v>99</v>
      </c>
      <c r="E35" s="6" t="s">
        <v>32</v>
      </c>
      <c r="F35" s="6" t="s">
        <v>161</v>
      </c>
      <c r="G35" s="6" t="s">
        <v>103</v>
      </c>
      <c r="H35" s="31" t="s">
        <v>162</v>
      </c>
      <c r="I35" s="31"/>
      <c r="J35" s="6" t="s">
        <v>163</v>
      </c>
      <c r="K35" s="6" t="s">
        <v>164</v>
      </c>
      <c r="L35" s="6" t="s">
        <v>165</v>
      </c>
      <c r="M35" s="6" t="s">
        <v>126</v>
      </c>
    </row>
    <row r="36" spans="1:13" ht="21.75" customHeight="1" x14ac:dyDescent="0.3">
      <c r="A36" s="7">
        <v>1</v>
      </c>
      <c r="B36" s="7"/>
      <c r="C36" s="7"/>
      <c r="D36" s="7"/>
      <c r="E36" s="7"/>
      <c r="F36" s="7"/>
      <c r="G36" s="7"/>
      <c r="H36" s="32"/>
      <c r="I36" s="32"/>
      <c r="J36" s="7"/>
      <c r="K36" s="7"/>
      <c r="L36" s="7"/>
      <c r="M36" s="7"/>
    </row>
    <row r="37" spans="1:13" ht="21.75" customHeight="1" x14ac:dyDescent="0.3">
      <c r="A37" s="8">
        <v>2</v>
      </c>
      <c r="B37" s="8"/>
      <c r="C37" s="8"/>
      <c r="D37" s="8"/>
      <c r="E37" s="8"/>
      <c r="F37" s="8"/>
      <c r="G37" s="8"/>
      <c r="H37" s="33"/>
      <c r="I37" s="33"/>
      <c r="J37" s="8"/>
      <c r="K37" s="8"/>
      <c r="L37" s="8"/>
      <c r="M37" s="8"/>
    </row>
    <row r="38" spans="1:13" ht="21.75" customHeight="1" x14ac:dyDescent="0.3">
      <c r="A38" s="7">
        <v>3</v>
      </c>
      <c r="B38" s="7"/>
      <c r="C38" s="7"/>
      <c r="D38" s="7"/>
      <c r="E38" s="7"/>
      <c r="F38" s="7"/>
      <c r="G38" s="7"/>
      <c r="H38" s="32"/>
      <c r="I38" s="32"/>
      <c r="J38" s="7"/>
      <c r="K38" s="7"/>
      <c r="L38" s="7"/>
      <c r="M38" s="7"/>
    </row>
    <row r="39" spans="1:13" ht="21.75" customHeight="1" x14ac:dyDescent="0.3">
      <c r="A39" s="8">
        <v>4</v>
      </c>
      <c r="B39" s="8"/>
      <c r="C39" s="8"/>
      <c r="D39" s="8"/>
      <c r="E39" s="8"/>
      <c r="F39" s="8"/>
      <c r="G39" s="8"/>
      <c r="H39" s="33"/>
      <c r="I39" s="33"/>
      <c r="J39" s="8"/>
      <c r="K39" s="8"/>
      <c r="L39" s="8"/>
      <c r="M39" s="8"/>
    </row>
    <row r="40" spans="1:13" ht="21.75" customHeight="1" x14ac:dyDescent="0.3">
      <c r="A40" s="7">
        <v>5</v>
      </c>
      <c r="B40" s="7"/>
      <c r="C40" s="7"/>
      <c r="D40" s="7"/>
      <c r="E40" s="7"/>
      <c r="F40" s="7"/>
      <c r="G40" s="7"/>
      <c r="H40" s="32"/>
      <c r="I40" s="32"/>
      <c r="J40" s="7"/>
      <c r="K40" s="7"/>
      <c r="L40" s="7"/>
      <c r="M40" s="7"/>
    </row>
    <row r="41" spans="1:13" ht="21.75" customHeight="1" x14ac:dyDescent="0.3">
      <c r="A41" s="8">
        <v>6</v>
      </c>
      <c r="B41" s="8"/>
      <c r="C41" s="8"/>
      <c r="D41" s="8"/>
      <c r="E41" s="8"/>
      <c r="F41" s="8"/>
      <c r="G41" s="8"/>
      <c r="H41" s="33"/>
      <c r="I41" s="33"/>
      <c r="J41" s="8"/>
      <c r="K41" s="8"/>
      <c r="L41" s="8"/>
      <c r="M41" s="8"/>
    </row>
    <row r="42" spans="1:13" ht="21.75" customHeight="1" x14ac:dyDescent="0.3">
      <c r="A42" s="7">
        <v>7</v>
      </c>
      <c r="B42" s="7"/>
      <c r="C42" s="7"/>
      <c r="D42" s="7"/>
      <c r="E42" s="7"/>
      <c r="F42" s="7"/>
      <c r="G42" s="7"/>
      <c r="H42" s="32"/>
      <c r="I42" s="32"/>
      <c r="J42" s="7"/>
      <c r="K42" s="7"/>
      <c r="L42" s="7"/>
      <c r="M42" s="7"/>
    </row>
    <row r="43" spans="1:13" ht="21.75" customHeight="1" x14ac:dyDescent="0.3">
      <c r="A43" s="8">
        <v>8</v>
      </c>
      <c r="B43" s="8"/>
      <c r="C43" s="8"/>
      <c r="D43" s="8"/>
      <c r="E43" s="8"/>
      <c r="F43" s="8"/>
      <c r="G43" s="8"/>
      <c r="H43" s="33"/>
      <c r="I43" s="33"/>
      <c r="J43" s="8"/>
      <c r="K43" s="8"/>
      <c r="L43" s="8"/>
      <c r="M43" s="8"/>
    </row>
    <row r="44" spans="1:13" ht="21.75" customHeight="1" x14ac:dyDescent="0.3">
      <c r="A44" s="7">
        <v>9</v>
      </c>
      <c r="B44" s="7"/>
      <c r="C44" s="7"/>
      <c r="D44" s="7"/>
      <c r="E44" s="7"/>
      <c r="F44" s="7"/>
      <c r="G44" s="7"/>
      <c r="H44" s="32"/>
      <c r="I44" s="32"/>
      <c r="J44" s="7"/>
      <c r="K44" s="7"/>
      <c r="L44" s="7"/>
      <c r="M44" s="7"/>
    </row>
    <row r="45" spans="1:13" ht="21.75" customHeight="1" x14ac:dyDescent="0.3">
      <c r="A45" s="8">
        <v>10</v>
      </c>
      <c r="B45" s="8"/>
      <c r="C45" s="8"/>
      <c r="D45" s="8"/>
      <c r="E45" s="8"/>
      <c r="F45" s="8"/>
      <c r="G45" s="8"/>
      <c r="H45" s="33"/>
      <c r="I45" s="33"/>
      <c r="J45" s="8"/>
      <c r="K45" s="8"/>
      <c r="L45" s="8"/>
      <c r="M45" s="8"/>
    </row>
    <row r="46" spans="1:13" ht="21.75" customHeight="1" x14ac:dyDescent="0.3">
      <c r="A46" s="7">
        <v>11</v>
      </c>
      <c r="B46" s="7"/>
      <c r="C46" s="7"/>
      <c r="D46" s="7"/>
      <c r="E46" s="7"/>
      <c r="F46" s="7"/>
      <c r="G46" s="7"/>
      <c r="H46" s="32"/>
      <c r="I46" s="32"/>
      <c r="J46" s="7"/>
      <c r="K46" s="7"/>
      <c r="L46" s="7"/>
      <c r="M46" s="7"/>
    </row>
    <row r="47" spans="1:13" ht="21.75" customHeight="1" x14ac:dyDescent="0.3">
      <c r="A47" s="8">
        <v>12</v>
      </c>
      <c r="B47" s="8"/>
      <c r="C47" s="8"/>
      <c r="D47" s="8"/>
      <c r="E47" s="8"/>
      <c r="F47" s="8"/>
      <c r="G47" s="8"/>
      <c r="H47" s="33"/>
      <c r="I47" s="33"/>
      <c r="J47" s="8"/>
      <c r="K47" s="8"/>
      <c r="L47" s="8"/>
      <c r="M47" s="8"/>
    </row>
    <row r="48" spans="1:13" ht="21.75" customHeight="1" x14ac:dyDescent="0.3">
      <c r="A48" s="7">
        <v>13</v>
      </c>
      <c r="B48" s="7"/>
      <c r="C48" s="7"/>
      <c r="D48" s="7"/>
      <c r="E48" s="7"/>
      <c r="F48" s="7"/>
      <c r="G48" s="7"/>
      <c r="H48" s="32"/>
      <c r="I48" s="32"/>
      <c r="J48" s="7"/>
      <c r="K48" s="7"/>
      <c r="L48" s="7"/>
      <c r="M48" s="7"/>
    </row>
    <row r="49" spans="1:13" ht="21.75" customHeight="1" x14ac:dyDescent="0.3">
      <c r="A49" s="8">
        <v>14</v>
      </c>
      <c r="B49" s="8"/>
      <c r="C49" s="8"/>
      <c r="D49" s="8"/>
      <c r="E49" s="8"/>
      <c r="F49" s="8"/>
      <c r="G49" s="8"/>
      <c r="H49" s="33"/>
      <c r="I49" s="33"/>
      <c r="J49" s="8"/>
      <c r="K49" s="8"/>
      <c r="L49" s="8"/>
      <c r="M49" s="8"/>
    </row>
    <row r="50" spans="1:13" ht="21.75" customHeight="1" x14ac:dyDescent="0.3">
      <c r="A50" s="7">
        <v>15</v>
      </c>
      <c r="B50" s="7"/>
      <c r="C50" s="7"/>
      <c r="D50" s="7"/>
      <c r="E50" s="7"/>
      <c r="F50" s="7"/>
      <c r="G50" s="7"/>
      <c r="H50" s="32"/>
      <c r="I50" s="32"/>
      <c r="J50" s="7"/>
      <c r="K50" s="7"/>
      <c r="L50" s="7"/>
      <c r="M50" s="7"/>
    </row>
    <row r="51" spans="1:13" ht="21.75" customHeight="1" x14ac:dyDescent="0.3">
      <c r="A51" s="8">
        <v>16</v>
      </c>
      <c r="B51" s="8"/>
      <c r="C51" s="8"/>
      <c r="D51" s="8"/>
      <c r="E51" s="8"/>
      <c r="F51" s="8"/>
      <c r="G51" s="8"/>
      <c r="H51" s="33"/>
      <c r="I51" s="33"/>
      <c r="J51" s="8"/>
      <c r="K51" s="8"/>
      <c r="L51" s="8"/>
      <c r="M51" s="8"/>
    </row>
    <row r="52" spans="1:13" ht="21.75" customHeight="1" x14ac:dyDescent="0.3">
      <c r="A52" s="7">
        <v>17</v>
      </c>
      <c r="B52" s="7"/>
      <c r="C52" s="7"/>
      <c r="D52" s="7"/>
      <c r="E52" s="7"/>
      <c r="F52" s="7"/>
      <c r="G52" s="7"/>
      <c r="H52" s="32"/>
      <c r="I52" s="32"/>
      <c r="J52" s="7"/>
      <c r="K52" s="7"/>
      <c r="L52" s="7"/>
      <c r="M52" s="7"/>
    </row>
    <row r="53" spans="1:13" ht="21.75" customHeight="1" x14ac:dyDescent="0.3">
      <c r="A53" s="8">
        <v>18</v>
      </c>
      <c r="B53" s="8"/>
      <c r="C53" s="8"/>
      <c r="D53" s="8"/>
      <c r="E53" s="8"/>
      <c r="F53" s="8"/>
      <c r="G53" s="8"/>
      <c r="H53" s="33"/>
      <c r="I53" s="33"/>
      <c r="J53" s="8"/>
      <c r="K53" s="8"/>
      <c r="L53" s="8"/>
      <c r="M53" s="8"/>
    </row>
    <row r="54" spans="1:13" ht="21.75" customHeight="1" x14ac:dyDescent="0.3">
      <c r="A54" s="7">
        <v>19</v>
      </c>
      <c r="B54" s="7"/>
      <c r="C54" s="7"/>
      <c r="D54" s="7"/>
      <c r="E54" s="7"/>
      <c r="F54" s="7"/>
      <c r="G54" s="7"/>
      <c r="H54" s="32"/>
      <c r="I54" s="32"/>
      <c r="J54" s="7"/>
      <c r="K54" s="7"/>
      <c r="L54" s="7"/>
      <c r="M54" s="7"/>
    </row>
    <row r="55" spans="1:13" ht="21.75" customHeight="1" x14ac:dyDescent="0.3">
      <c r="A55" s="8">
        <v>20</v>
      </c>
      <c r="B55" s="8"/>
      <c r="C55" s="8"/>
      <c r="D55" s="8"/>
      <c r="E55" s="8"/>
      <c r="F55" s="8"/>
      <c r="G55" s="8"/>
      <c r="H55" s="33"/>
      <c r="I55" s="33"/>
      <c r="J55" s="8"/>
      <c r="K55" s="8"/>
      <c r="L55" s="8"/>
      <c r="M55" s="8"/>
    </row>
    <row r="56" spans="1:13" ht="21.75" customHeight="1" x14ac:dyDescent="0.3">
      <c r="A56" s="7">
        <v>21</v>
      </c>
      <c r="B56" s="7"/>
      <c r="C56" s="7"/>
      <c r="D56" s="7"/>
      <c r="E56" s="7"/>
      <c r="F56" s="7"/>
      <c r="G56" s="7"/>
      <c r="H56" s="32"/>
      <c r="I56" s="32"/>
      <c r="J56" s="7"/>
      <c r="K56" s="7"/>
      <c r="L56" s="7"/>
      <c r="M56" s="7"/>
    </row>
    <row r="57" spans="1:13" ht="21.75" customHeight="1" x14ac:dyDescent="0.3">
      <c r="A57" s="8">
        <v>22</v>
      </c>
      <c r="B57" s="8"/>
      <c r="C57" s="8"/>
      <c r="D57" s="8"/>
      <c r="E57" s="8"/>
      <c r="F57" s="8"/>
      <c r="G57" s="8"/>
      <c r="H57" s="33"/>
      <c r="I57" s="33"/>
      <c r="J57" s="8"/>
      <c r="K57" s="8"/>
      <c r="L57" s="8"/>
      <c r="M57" s="8"/>
    </row>
    <row r="58" spans="1:13" ht="21.75" customHeight="1" x14ac:dyDescent="0.3">
      <c r="A58" s="7">
        <v>23</v>
      </c>
      <c r="B58" s="7"/>
      <c r="C58" s="7"/>
      <c r="D58" s="7"/>
      <c r="E58" s="7"/>
      <c r="F58" s="7"/>
      <c r="G58" s="7"/>
      <c r="H58" s="32"/>
      <c r="I58" s="32"/>
      <c r="J58" s="7"/>
      <c r="K58" s="7"/>
      <c r="L58" s="7"/>
      <c r="M58" s="7"/>
    </row>
    <row r="59" spans="1:13" ht="21.75" customHeight="1" x14ac:dyDescent="0.3">
      <c r="A59" s="8">
        <v>24</v>
      </c>
      <c r="B59" s="8"/>
      <c r="C59" s="8"/>
      <c r="D59" s="8"/>
      <c r="E59" s="8"/>
      <c r="F59" s="8"/>
      <c r="G59" s="8"/>
      <c r="H59" s="33"/>
      <c r="I59" s="33"/>
      <c r="J59" s="8"/>
      <c r="K59" s="8"/>
      <c r="L59" s="8"/>
      <c r="M59" s="8"/>
    </row>
    <row r="60" spans="1:13" ht="21.75" customHeight="1" x14ac:dyDescent="0.3">
      <c r="A60" s="7">
        <v>25</v>
      </c>
      <c r="B60" s="7"/>
      <c r="C60" s="7"/>
      <c r="D60" s="7"/>
      <c r="E60" s="7"/>
      <c r="F60" s="7"/>
      <c r="G60" s="7"/>
      <c r="H60" s="32"/>
      <c r="I60" s="32"/>
      <c r="J60" s="7"/>
      <c r="K60" s="7"/>
      <c r="L60" s="7"/>
      <c r="M60" s="7"/>
    </row>
    <row r="61" spans="1:13" ht="21.75" customHeight="1" x14ac:dyDescent="0.3">
      <c r="A61" s="8">
        <v>26</v>
      </c>
      <c r="B61" s="8"/>
      <c r="C61" s="8"/>
      <c r="D61" s="8"/>
      <c r="E61" s="8"/>
      <c r="F61" s="8"/>
      <c r="G61" s="8"/>
      <c r="H61" s="33"/>
      <c r="I61" s="33"/>
      <c r="J61" s="8"/>
      <c r="K61" s="8"/>
      <c r="L61" s="8"/>
      <c r="M61" s="8"/>
    </row>
    <row r="62" spans="1:13" ht="21.75" customHeight="1" x14ac:dyDescent="0.3">
      <c r="A62" s="7">
        <v>27</v>
      </c>
      <c r="B62" s="7"/>
      <c r="C62" s="7"/>
      <c r="D62" s="7"/>
      <c r="E62" s="7"/>
      <c r="F62" s="7"/>
      <c r="G62" s="7"/>
      <c r="H62" s="32"/>
      <c r="I62" s="32"/>
      <c r="J62" s="7"/>
      <c r="K62" s="7"/>
      <c r="L62" s="7"/>
      <c r="M62" s="7"/>
    </row>
    <row r="63" spans="1:13" ht="21.75" customHeight="1" x14ac:dyDescent="0.3">
      <c r="A63" s="8">
        <v>28</v>
      </c>
      <c r="B63" s="8"/>
      <c r="C63" s="8"/>
      <c r="D63" s="8"/>
      <c r="E63" s="8"/>
      <c r="F63" s="8"/>
      <c r="G63" s="8"/>
      <c r="H63" s="33"/>
      <c r="I63" s="33"/>
      <c r="J63" s="8"/>
      <c r="K63" s="8"/>
      <c r="L63" s="8"/>
      <c r="M63" s="8"/>
    </row>
    <row r="64" spans="1:13" ht="21.75" customHeight="1" x14ac:dyDescent="0.3">
      <c r="A64" s="7">
        <v>29</v>
      </c>
      <c r="B64" s="7"/>
      <c r="C64" s="7"/>
      <c r="D64" s="7"/>
      <c r="E64" s="7"/>
      <c r="F64" s="7"/>
      <c r="G64" s="7"/>
      <c r="H64" s="32"/>
      <c r="I64" s="32"/>
      <c r="J64" s="7"/>
      <c r="K64" s="7"/>
      <c r="L64" s="7"/>
      <c r="M64" s="7"/>
    </row>
    <row r="65" spans="1:13" ht="21.75" customHeight="1" x14ac:dyDescent="0.3">
      <c r="A65" s="8">
        <v>30</v>
      </c>
      <c r="B65" s="8"/>
      <c r="C65" s="8"/>
      <c r="D65" s="8"/>
      <c r="E65" s="8"/>
      <c r="F65" s="8"/>
      <c r="G65" s="8"/>
      <c r="H65" s="33"/>
      <c r="I65" s="33"/>
      <c r="J65" s="8"/>
      <c r="K65" s="8"/>
      <c r="L65" s="8"/>
      <c r="M65" s="8"/>
    </row>
    <row r="67" spans="1:13" ht="15" customHeight="1" x14ac:dyDescent="0.3">
      <c r="A67" s="16" t="s">
        <v>166</v>
      </c>
      <c r="B67" s="16"/>
      <c r="C67" s="16"/>
      <c r="D67" s="16"/>
      <c r="E67" s="16"/>
      <c r="F67" s="16"/>
      <c r="G67" s="16"/>
      <c r="H67" s="16"/>
      <c r="I67" s="16"/>
      <c r="J67" s="16"/>
      <c r="K67" s="16"/>
      <c r="L67" s="16"/>
      <c r="M67" s="16"/>
    </row>
    <row r="68" spans="1:13" ht="32.25" customHeight="1" x14ac:dyDescent="0.3">
      <c r="A68" s="6" t="s">
        <v>167</v>
      </c>
      <c r="B68" s="31" t="s">
        <v>168</v>
      </c>
      <c r="C68" s="31"/>
      <c r="D68" s="31" t="s">
        <v>169</v>
      </c>
      <c r="E68" s="31"/>
      <c r="F68" s="31" t="s">
        <v>170</v>
      </c>
      <c r="G68" s="31"/>
      <c r="H68" s="31" t="s">
        <v>171</v>
      </c>
      <c r="I68" s="31"/>
      <c r="J68" s="31" t="s">
        <v>172</v>
      </c>
      <c r="K68" s="31"/>
      <c r="L68" s="6" t="s">
        <v>111</v>
      </c>
      <c r="M68" s="6" t="s">
        <v>126</v>
      </c>
    </row>
    <row r="69" spans="1:13" ht="19.5" customHeight="1" x14ac:dyDescent="0.3">
      <c r="A69" s="7" t="s">
        <v>192</v>
      </c>
      <c r="B69" s="34" t="s">
        <v>193</v>
      </c>
      <c r="C69" s="34"/>
      <c r="D69" s="34" t="s">
        <v>194</v>
      </c>
      <c r="E69" s="34"/>
      <c r="F69" s="34" t="s">
        <v>206</v>
      </c>
      <c r="G69" s="34"/>
      <c r="H69" s="35"/>
      <c r="I69" s="34"/>
      <c r="J69" s="35"/>
      <c r="K69" s="34"/>
      <c r="L69" s="7" t="s">
        <v>195</v>
      </c>
      <c r="M69" s="7"/>
    </row>
    <row r="70" spans="1:13" ht="19.5" customHeight="1" x14ac:dyDescent="0.3">
      <c r="A70" s="8" t="s">
        <v>196</v>
      </c>
      <c r="B70" s="36" t="s">
        <v>197</v>
      </c>
      <c r="C70" s="36"/>
      <c r="D70" s="36" t="s">
        <v>198</v>
      </c>
      <c r="E70" s="36"/>
      <c r="F70" s="36" t="s">
        <v>206</v>
      </c>
      <c r="G70" s="36"/>
      <c r="H70" s="37"/>
      <c r="I70" s="36"/>
      <c r="J70" s="36"/>
      <c r="K70" s="36"/>
      <c r="L70" s="8" t="s">
        <v>207</v>
      </c>
      <c r="M70" s="8"/>
    </row>
    <row r="71" spans="1:13" ht="19.5" customHeight="1" x14ac:dyDescent="0.3">
      <c r="A71" s="7" t="s">
        <v>200</v>
      </c>
      <c r="B71" s="34" t="s">
        <v>201</v>
      </c>
      <c r="C71" s="34"/>
      <c r="D71" s="34" t="s">
        <v>202</v>
      </c>
      <c r="E71" s="34"/>
      <c r="F71" s="34" t="s">
        <v>209</v>
      </c>
      <c r="G71" s="34"/>
      <c r="H71" s="35"/>
      <c r="I71" s="34"/>
      <c r="J71" s="34"/>
      <c r="K71" s="34"/>
      <c r="L71" s="7" t="s">
        <v>199</v>
      </c>
      <c r="M71" s="7"/>
    </row>
    <row r="72" spans="1:13" ht="19.5" customHeight="1" x14ac:dyDescent="0.3">
      <c r="A72" s="8" t="s">
        <v>203</v>
      </c>
      <c r="B72" s="36" t="s">
        <v>210</v>
      </c>
      <c r="C72" s="36"/>
      <c r="D72" s="36" t="s">
        <v>198</v>
      </c>
      <c r="E72" s="36"/>
      <c r="F72" s="36" t="s">
        <v>206</v>
      </c>
      <c r="G72" s="36"/>
      <c r="H72" s="37"/>
      <c r="I72" s="36"/>
      <c r="J72" s="37"/>
      <c r="K72" s="36"/>
      <c r="L72" s="8" t="s">
        <v>195</v>
      </c>
      <c r="M72" s="8"/>
    </row>
    <row r="73" spans="1:13" ht="19.5" customHeight="1" x14ac:dyDescent="0.3">
      <c r="A73" s="7"/>
      <c r="B73" s="34"/>
      <c r="C73" s="34"/>
      <c r="D73" s="34"/>
      <c r="E73" s="34"/>
      <c r="F73" s="34"/>
      <c r="G73" s="34"/>
      <c r="H73" s="34"/>
      <c r="I73" s="34"/>
      <c r="J73" s="34"/>
      <c r="K73" s="34"/>
      <c r="L73" s="7"/>
      <c r="M73" s="7"/>
    </row>
    <row r="74" spans="1:13" ht="19.5" customHeight="1" x14ac:dyDescent="0.3">
      <c r="A74" s="8"/>
      <c r="B74" s="36"/>
      <c r="C74" s="36"/>
      <c r="D74" s="36"/>
      <c r="E74" s="36"/>
      <c r="F74" s="36"/>
      <c r="G74" s="36"/>
      <c r="H74" s="36"/>
      <c r="I74" s="36"/>
      <c r="J74" s="36"/>
      <c r="K74" s="36"/>
      <c r="L74" s="8"/>
      <c r="M74" s="8"/>
    </row>
    <row r="75" spans="1:13" ht="19.5" customHeight="1" x14ac:dyDescent="0.3">
      <c r="A75" s="7"/>
      <c r="B75" s="34"/>
      <c r="C75" s="34"/>
      <c r="D75" s="34"/>
      <c r="E75" s="34"/>
      <c r="F75" s="34"/>
      <c r="G75" s="34"/>
      <c r="H75" s="34"/>
      <c r="I75" s="34"/>
      <c r="J75" s="34"/>
      <c r="K75" s="34"/>
      <c r="L75" s="7"/>
      <c r="M75" s="7"/>
    </row>
    <row r="76" spans="1:13" ht="19.5" customHeight="1" x14ac:dyDescent="0.3">
      <c r="A76" s="8"/>
      <c r="B76" s="36"/>
      <c r="C76" s="36"/>
      <c r="D76" s="36"/>
      <c r="E76" s="36"/>
      <c r="F76" s="36"/>
      <c r="G76" s="36"/>
      <c r="H76" s="36"/>
      <c r="I76" s="36"/>
      <c r="J76" s="36"/>
      <c r="K76" s="36"/>
      <c r="L76" s="8"/>
      <c r="M76" s="8"/>
    </row>
    <row r="77" spans="1:13" ht="19.5" customHeight="1" x14ac:dyDescent="0.3">
      <c r="A77" s="7"/>
      <c r="B77" s="34"/>
      <c r="C77" s="34"/>
      <c r="D77" s="34"/>
      <c r="E77" s="34"/>
      <c r="F77" s="34"/>
      <c r="G77" s="34"/>
      <c r="H77" s="34"/>
      <c r="I77" s="34"/>
      <c r="J77" s="34"/>
      <c r="K77" s="34"/>
      <c r="L77" s="7"/>
      <c r="M77" s="7"/>
    </row>
    <row r="78" spans="1:13" ht="19.5" customHeight="1" x14ac:dyDescent="0.3">
      <c r="A78" s="8"/>
      <c r="B78" s="36"/>
      <c r="C78" s="36"/>
      <c r="D78" s="36"/>
      <c r="E78" s="36"/>
      <c r="F78" s="36"/>
      <c r="G78" s="36"/>
      <c r="H78" s="36"/>
      <c r="I78" s="36"/>
      <c r="J78" s="36"/>
      <c r="K78" s="36"/>
      <c r="L78" s="8"/>
      <c r="M78" s="8"/>
    </row>
    <row r="80" spans="1:13" ht="15" customHeight="1" x14ac:dyDescent="0.3">
      <c r="A80" s="16" t="s">
        <v>173</v>
      </c>
      <c r="B80" s="16"/>
      <c r="C80" s="16"/>
      <c r="D80" s="16"/>
      <c r="E80" s="16"/>
      <c r="F80" s="16"/>
      <c r="G80" s="16"/>
      <c r="H80" s="16"/>
      <c r="I80" s="16"/>
      <c r="J80" s="16"/>
      <c r="K80" s="16"/>
      <c r="L80" s="16"/>
      <c r="M80" s="16"/>
    </row>
    <row r="81" spans="1:13" ht="15" customHeight="1" x14ac:dyDescent="0.3">
      <c r="A81" s="31" t="s">
        <v>108</v>
      </c>
      <c r="B81" s="31"/>
      <c r="C81" s="31" t="s">
        <v>99</v>
      </c>
      <c r="D81" s="31"/>
      <c r="E81" s="31" t="s">
        <v>109</v>
      </c>
      <c r="F81" s="31"/>
      <c r="G81" s="31" t="s">
        <v>110</v>
      </c>
      <c r="H81" s="31"/>
      <c r="I81" s="31"/>
      <c r="J81" s="31"/>
      <c r="K81" s="31"/>
      <c r="L81" s="31" t="s">
        <v>111</v>
      </c>
      <c r="M81" s="31"/>
    </row>
    <row r="82" spans="1:13" ht="21.75" customHeight="1" x14ac:dyDescent="0.3">
      <c r="A82" s="34"/>
      <c r="B82" s="34"/>
      <c r="C82" s="34"/>
      <c r="D82" s="34"/>
      <c r="E82" s="34"/>
      <c r="F82" s="34"/>
      <c r="G82" s="32"/>
      <c r="H82" s="32"/>
      <c r="I82" s="32"/>
      <c r="J82" s="32"/>
      <c r="K82" s="32"/>
      <c r="L82" s="34"/>
      <c r="M82" s="34"/>
    </row>
    <row r="83" spans="1:13" ht="21.75" customHeight="1" x14ac:dyDescent="0.3">
      <c r="A83" s="36"/>
      <c r="B83" s="36"/>
      <c r="C83" s="36"/>
      <c r="D83" s="36"/>
      <c r="E83" s="36"/>
      <c r="F83" s="36"/>
      <c r="G83" s="33"/>
      <c r="H83" s="33"/>
      <c r="I83" s="33"/>
      <c r="J83" s="33"/>
      <c r="K83" s="33"/>
      <c r="L83" s="36"/>
      <c r="M83" s="36"/>
    </row>
    <row r="84" spans="1:13" ht="21.75" customHeight="1" x14ac:dyDescent="0.3">
      <c r="A84" s="34"/>
      <c r="B84" s="34"/>
      <c r="C84" s="34"/>
      <c r="D84" s="34"/>
      <c r="E84" s="34"/>
      <c r="F84" s="34"/>
      <c r="G84" s="32"/>
      <c r="H84" s="32"/>
      <c r="I84" s="32"/>
      <c r="J84" s="32"/>
      <c r="K84" s="32"/>
      <c r="L84" s="34"/>
      <c r="M84" s="34"/>
    </row>
    <row r="85" spans="1:13" ht="21.75" customHeight="1" x14ac:dyDescent="0.3">
      <c r="A85" s="36"/>
      <c r="B85" s="36"/>
      <c r="C85" s="36"/>
      <c r="D85" s="36"/>
      <c r="E85" s="36"/>
      <c r="F85" s="36"/>
      <c r="G85" s="33"/>
      <c r="H85" s="33"/>
      <c r="I85" s="33"/>
      <c r="J85" s="33"/>
      <c r="K85" s="33"/>
      <c r="L85" s="36"/>
      <c r="M85" s="36"/>
    </row>
    <row r="86" spans="1:13" ht="21.75" customHeight="1" x14ac:dyDescent="0.3">
      <c r="A86" s="34"/>
      <c r="B86" s="34"/>
      <c r="C86" s="34"/>
      <c r="D86" s="34"/>
      <c r="E86" s="34"/>
      <c r="F86" s="34"/>
      <c r="G86" s="32"/>
      <c r="H86" s="32"/>
      <c r="I86" s="32"/>
      <c r="J86" s="32"/>
      <c r="K86" s="32"/>
      <c r="L86" s="34"/>
      <c r="M86" s="34"/>
    </row>
    <row r="87" spans="1:13" ht="21.75" customHeight="1" x14ac:dyDescent="0.3">
      <c r="A87" s="36"/>
      <c r="B87" s="36"/>
      <c r="C87" s="36"/>
      <c r="D87" s="36"/>
      <c r="E87" s="36"/>
      <c r="F87" s="36"/>
      <c r="G87" s="33"/>
      <c r="H87" s="33"/>
      <c r="I87" s="33"/>
      <c r="J87" s="33"/>
      <c r="K87" s="33"/>
      <c r="L87" s="36"/>
      <c r="M87" s="36"/>
    </row>
    <row r="88" spans="1:13" ht="21.75" customHeight="1" x14ac:dyDescent="0.3">
      <c r="A88" s="34"/>
      <c r="B88" s="34"/>
      <c r="C88" s="34"/>
      <c r="D88" s="34"/>
      <c r="E88" s="34"/>
      <c r="F88" s="34"/>
      <c r="G88" s="32"/>
      <c r="H88" s="32"/>
      <c r="I88" s="32"/>
      <c r="J88" s="32"/>
      <c r="K88" s="32"/>
      <c r="L88" s="34"/>
      <c r="M88" s="34"/>
    </row>
    <row r="89" spans="1:13" ht="21.75" customHeight="1" x14ac:dyDescent="0.3">
      <c r="A89" s="36"/>
      <c r="B89" s="36"/>
      <c r="C89" s="36"/>
      <c r="D89" s="36"/>
      <c r="E89" s="36"/>
      <c r="F89" s="36"/>
      <c r="G89" s="33"/>
      <c r="H89" s="33"/>
      <c r="I89" s="33"/>
      <c r="J89" s="33"/>
      <c r="K89" s="33"/>
      <c r="L89" s="36"/>
      <c r="M89" s="36"/>
    </row>
    <row r="90" spans="1:13" ht="21.75" customHeight="1" x14ac:dyDescent="0.3">
      <c r="A90" s="34"/>
      <c r="B90" s="34"/>
      <c r="C90" s="34"/>
      <c r="D90" s="34"/>
      <c r="E90" s="34"/>
      <c r="F90" s="34"/>
      <c r="G90" s="32"/>
      <c r="H90" s="32"/>
      <c r="I90" s="32"/>
      <c r="J90" s="32"/>
      <c r="K90" s="32"/>
      <c r="L90" s="34"/>
      <c r="M90" s="34"/>
    </row>
    <row r="91" spans="1:13" ht="21.75" customHeight="1" x14ac:dyDescent="0.3">
      <c r="A91" s="36"/>
      <c r="B91" s="36"/>
      <c r="C91" s="36"/>
      <c r="D91" s="36"/>
      <c r="E91" s="36"/>
      <c r="F91" s="36"/>
      <c r="G91" s="33"/>
      <c r="H91" s="33"/>
      <c r="I91" s="33"/>
      <c r="J91" s="33"/>
      <c r="K91" s="33"/>
      <c r="L91" s="36"/>
      <c r="M91" s="36"/>
    </row>
    <row r="93" spans="1:13" ht="15" customHeight="1" x14ac:dyDescent="0.3">
      <c r="A93" s="16" t="s">
        <v>120</v>
      </c>
      <c r="B93" s="16"/>
      <c r="C93" s="16"/>
      <c r="D93" s="16"/>
      <c r="E93" s="16"/>
      <c r="F93" s="16"/>
      <c r="G93" s="16"/>
      <c r="H93" s="16"/>
      <c r="I93" s="16"/>
      <c r="J93" s="16"/>
      <c r="K93" s="16"/>
      <c r="L93" s="16"/>
      <c r="M93" s="16"/>
    </row>
    <row r="94" spans="1:13" ht="15" customHeight="1" x14ac:dyDescent="0.3">
      <c r="A94" s="31" t="s">
        <v>121</v>
      </c>
      <c r="B94" s="31"/>
      <c r="C94" s="31"/>
      <c r="D94" s="31"/>
      <c r="E94" s="31" t="s">
        <v>122</v>
      </c>
      <c r="F94" s="31"/>
      <c r="G94" s="31" t="s">
        <v>123</v>
      </c>
      <c r="H94" s="31"/>
      <c r="I94" s="31" t="s">
        <v>124</v>
      </c>
      <c r="J94" s="31"/>
      <c r="K94" s="6" t="s">
        <v>125</v>
      </c>
      <c r="L94" s="6" t="s">
        <v>111</v>
      </c>
      <c r="M94" s="6" t="s">
        <v>126</v>
      </c>
    </row>
    <row r="95" spans="1:13" ht="19.5" customHeight="1" x14ac:dyDescent="0.3">
      <c r="A95" s="38" t="s">
        <v>127</v>
      </c>
      <c r="B95" s="38"/>
      <c r="C95" s="38"/>
      <c r="D95" s="38"/>
      <c r="E95" s="39" t="s">
        <v>128</v>
      </c>
      <c r="F95" s="39"/>
      <c r="G95" s="40"/>
      <c r="H95" s="40"/>
      <c r="I95" s="40"/>
      <c r="J95" s="40"/>
      <c r="K95" s="11"/>
      <c r="L95" s="11"/>
      <c r="M95" s="12"/>
    </row>
    <row r="96" spans="1:13" ht="19.5" customHeight="1" x14ac:dyDescent="0.3">
      <c r="A96" s="41" t="s">
        <v>129</v>
      </c>
      <c r="B96" s="41"/>
      <c r="C96" s="41"/>
      <c r="D96" s="41"/>
      <c r="E96" s="40" t="s">
        <v>130</v>
      </c>
      <c r="F96" s="40"/>
      <c r="G96" s="40"/>
      <c r="H96" s="40"/>
      <c r="I96" s="40"/>
      <c r="J96" s="40"/>
      <c r="K96" s="11"/>
      <c r="L96" s="11"/>
      <c r="M96" s="12"/>
    </row>
    <row r="97" spans="1:13" ht="19.5" customHeight="1" x14ac:dyDescent="0.3">
      <c r="A97" s="38" t="s">
        <v>131</v>
      </c>
      <c r="B97" s="38"/>
      <c r="C97" s="38"/>
      <c r="D97" s="38"/>
      <c r="E97" s="39" t="s">
        <v>130</v>
      </c>
      <c r="F97" s="39"/>
      <c r="G97" s="40"/>
      <c r="H97" s="40"/>
      <c r="I97" s="40"/>
      <c r="J97" s="40"/>
      <c r="K97" s="11"/>
      <c r="L97" s="11"/>
      <c r="M97" s="12"/>
    </row>
    <row r="98" spans="1:13" ht="19.5" customHeight="1" x14ac:dyDescent="0.3">
      <c r="A98" s="41" t="s">
        <v>132</v>
      </c>
      <c r="B98" s="41"/>
      <c r="C98" s="41"/>
      <c r="D98" s="41"/>
      <c r="E98" s="40" t="s">
        <v>130</v>
      </c>
      <c r="F98" s="40"/>
      <c r="G98" s="40"/>
      <c r="H98" s="40"/>
      <c r="I98" s="40"/>
      <c r="J98" s="40"/>
      <c r="K98" s="11"/>
      <c r="L98" s="11"/>
      <c r="M98" s="12"/>
    </row>
    <row r="99" spans="1:13" ht="19.5" customHeight="1" x14ac:dyDescent="0.3">
      <c r="A99" s="38" t="s">
        <v>133</v>
      </c>
      <c r="B99" s="38"/>
      <c r="C99" s="38"/>
      <c r="D99" s="38"/>
      <c r="E99" s="39" t="s">
        <v>130</v>
      </c>
      <c r="F99" s="39"/>
      <c r="G99" s="40"/>
      <c r="H99" s="40"/>
      <c r="I99" s="40"/>
      <c r="J99" s="40"/>
      <c r="K99" s="11"/>
      <c r="L99" s="11"/>
      <c r="M99" s="12"/>
    </row>
    <row r="100" spans="1:13" ht="19.5" customHeight="1" x14ac:dyDescent="0.3">
      <c r="A100" s="41" t="s">
        <v>134</v>
      </c>
      <c r="B100" s="41"/>
      <c r="C100" s="41"/>
      <c r="D100" s="41"/>
      <c r="E100" s="40" t="s">
        <v>135</v>
      </c>
      <c r="F100" s="40"/>
      <c r="G100" s="40"/>
      <c r="H100" s="40"/>
      <c r="I100" s="40"/>
      <c r="J100" s="40"/>
      <c r="K100" s="11"/>
      <c r="L100" s="11"/>
      <c r="M100" s="12"/>
    </row>
    <row r="102" spans="1:13" ht="15" customHeight="1" x14ac:dyDescent="0.3">
      <c r="A102" s="16" t="s">
        <v>136</v>
      </c>
      <c r="B102" s="16"/>
      <c r="C102" s="16"/>
      <c r="D102" s="16"/>
      <c r="E102" s="16"/>
      <c r="F102" s="16"/>
      <c r="G102" s="16"/>
      <c r="H102" s="16"/>
      <c r="I102" s="16"/>
      <c r="J102" s="16"/>
      <c r="K102" s="16"/>
      <c r="L102" s="16"/>
      <c r="M102" s="16"/>
    </row>
    <row r="103" spans="1:13" ht="21.75" customHeight="1" x14ac:dyDescent="0.3">
      <c r="A103" s="6" t="s">
        <v>98</v>
      </c>
      <c r="B103" s="31" t="s">
        <v>137</v>
      </c>
      <c r="C103" s="31"/>
      <c r="D103" s="31"/>
      <c r="E103" s="31" t="s">
        <v>138</v>
      </c>
      <c r="F103" s="31"/>
      <c r="G103" s="31"/>
      <c r="H103" s="31" t="s">
        <v>139</v>
      </c>
      <c r="I103" s="31"/>
      <c r="J103" s="6" t="s">
        <v>140</v>
      </c>
      <c r="K103" s="6" t="s">
        <v>111</v>
      </c>
      <c r="L103" s="31" t="s">
        <v>141</v>
      </c>
      <c r="M103" s="31"/>
    </row>
    <row r="104" spans="1:13" ht="21.75" customHeight="1" x14ac:dyDescent="0.3">
      <c r="A104" s="7">
        <v>1</v>
      </c>
      <c r="B104" s="34"/>
      <c r="C104" s="34"/>
      <c r="D104" s="34"/>
      <c r="E104" s="34"/>
      <c r="F104" s="34"/>
      <c r="G104" s="34"/>
      <c r="H104" s="32"/>
      <c r="I104" s="32"/>
      <c r="J104" s="7"/>
      <c r="K104" s="7"/>
      <c r="L104" s="32"/>
      <c r="M104" s="32"/>
    </row>
    <row r="105" spans="1:13" ht="21.75" customHeight="1" x14ac:dyDescent="0.3">
      <c r="A105" s="8">
        <v>2</v>
      </c>
      <c r="B105" s="36"/>
      <c r="C105" s="36"/>
      <c r="D105" s="36"/>
      <c r="E105" s="36"/>
      <c r="F105" s="36"/>
      <c r="G105" s="36"/>
      <c r="H105" s="33"/>
      <c r="I105" s="33"/>
      <c r="J105" s="8"/>
      <c r="K105" s="8"/>
      <c r="L105" s="33"/>
      <c r="M105" s="33"/>
    </row>
    <row r="106" spans="1:13" ht="21.75" customHeight="1" x14ac:dyDescent="0.3">
      <c r="A106" s="7">
        <v>3</v>
      </c>
      <c r="B106" s="34"/>
      <c r="C106" s="34"/>
      <c r="D106" s="34"/>
      <c r="E106" s="34"/>
      <c r="F106" s="34"/>
      <c r="G106" s="34"/>
      <c r="H106" s="32"/>
      <c r="I106" s="32"/>
      <c r="J106" s="7"/>
      <c r="K106" s="7"/>
      <c r="L106" s="32"/>
      <c r="M106" s="32"/>
    </row>
    <row r="107" spans="1:13" ht="21.75" customHeight="1" x14ac:dyDescent="0.3">
      <c r="A107" s="8">
        <v>4</v>
      </c>
      <c r="B107" s="36"/>
      <c r="C107" s="36"/>
      <c r="D107" s="36"/>
      <c r="E107" s="36"/>
      <c r="F107" s="36"/>
      <c r="G107" s="36"/>
      <c r="H107" s="33"/>
      <c r="I107" s="33"/>
      <c r="J107" s="8"/>
      <c r="K107" s="8"/>
      <c r="L107" s="33"/>
      <c r="M107" s="33"/>
    </row>
    <row r="108" spans="1:13" ht="21.75" customHeight="1" x14ac:dyDescent="0.3">
      <c r="A108" s="7">
        <v>5</v>
      </c>
      <c r="B108" s="34"/>
      <c r="C108" s="34"/>
      <c r="D108" s="34"/>
      <c r="E108" s="34"/>
      <c r="F108" s="34"/>
      <c r="G108" s="34"/>
      <c r="H108" s="32"/>
      <c r="I108" s="32"/>
      <c r="J108" s="7"/>
      <c r="K108" s="7"/>
      <c r="L108" s="32"/>
      <c r="M108" s="32"/>
    </row>
    <row r="110" spans="1:13" ht="15" customHeight="1" x14ac:dyDescent="0.3">
      <c r="A110" s="16" t="s">
        <v>142</v>
      </c>
      <c r="B110" s="16"/>
      <c r="C110" s="16"/>
      <c r="D110" s="16"/>
      <c r="E110" s="16"/>
      <c r="F110" s="16"/>
      <c r="G110" s="16"/>
      <c r="H110" s="16"/>
      <c r="I110" s="16"/>
      <c r="J110" s="16"/>
      <c r="K110" s="16"/>
      <c r="L110" s="16"/>
      <c r="M110" s="16"/>
    </row>
    <row r="111" spans="1:13" ht="19.5" customHeight="1" x14ac:dyDescent="0.3">
      <c r="A111" s="42" t="s">
        <v>143</v>
      </c>
      <c r="B111" s="42"/>
      <c r="C111" s="42"/>
      <c r="D111" s="42"/>
      <c r="E111" s="43"/>
      <c r="F111" s="43"/>
      <c r="G111" s="43"/>
      <c r="H111" s="43"/>
      <c r="I111" s="43"/>
      <c r="J111" s="43"/>
      <c r="K111" s="43"/>
      <c r="L111" s="43"/>
      <c r="M111" s="43"/>
    </row>
    <row r="112" spans="1:13" ht="19.5" customHeight="1" x14ac:dyDescent="0.3">
      <c r="A112" s="42" t="s">
        <v>212</v>
      </c>
      <c r="B112" s="44"/>
      <c r="C112" s="44"/>
      <c r="D112" s="44"/>
      <c r="E112" s="44"/>
      <c r="F112" s="44"/>
      <c r="G112" s="44"/>
      <c r="H112" s="44"/>
      <c r="I112" s="44"/>
      <c r="J112" s="44"/>
      <c r="K112" s="44"/>
      <c r="L112" s="44"/>
      <c r="M112" s="44"/>
    </row>
    <row r="113" spans="1:13" ht="19.2" customHeight="1" x14ac:dyDescent="0.3">
      <c r="A113" s="42" t="s">
        <v>208</v>
      </c>
      <c r="B113" s="44"/>
      <c r="C113" s="44"/>
      <c r="D113" s="44"/>
      <c r="E113" s="44"/>
      <c r="F113" s="44"/>
      <c r="G113" s="44"/>
      <c r="H113" s="44"/>
      <c r="I113" s="44"/>
      <c r="J113" s="44"/>
      <c r="K113" s="44"/>
      <c r="L113" s="44"/>
      <c r="M113" s="44"/>
    </row>
    <row r="114" spans="1:13" x14ac:dyDescent="0.3">
      <c r="A114" s="42" t="s">
        <v>213</v>
      </c>
      <c r="B114" s="44"/>
      <c r="C114" s="44"/>
      <c r="D114" s="44"/>
      <c r="E114" s="44"/>
      <c r="F114" s="44"/>
      <c r="G114" s="44"/>
      <c r="H114" s="44"/>
      <c r="I114" s="44"/>
      <c r="J114" s="44"/>
      <c r="K114" s="44"/>
      <c r="L114" s="44"/>
      <c r="M114" s="44"/>
    </row>
    <row r="115" spans="1:13" ht="19.5" customHeight="1" x14ac:dyDescent="0.3">
      <c r="A115" s="42" t="s">
        <v>144</v>
      </c>
      <c r="B115" s="42"/>
      <c r="C115" s="42"/>
      <c r="D115" s="42"/>
      <c r="E115" s="43"/>
      <c r="F115" s="43"/>
      <c r="G115" s="43"/>
      <c r="H115" s="43"/>
      <c r="I115" s="43"/>
      <c r="J115" s="43"/>
      <c r="K115" s="43"/>
      <c r="L115" s="43"/>
      <c r="M115" s="43"/>
    </row>
    <row r="116" spans="1:13" x14ac:dyDescent="0.3">
      <c r="A116" s="42" t="s">
        <v>204</v>
      </c>
      <c r="B116" s="44"/>
      <c r="C116" s="44"/>
      <c r="D116" s="44"/>
      <c r="E116" s="44"/>
      <c r="F116" s="44"/>
      <c r="G116" s="44"/>
      <c r="H116" s="44"/>
      <c r="I116" s="44"/>
      <c r="J116" s="44"/>
      <c r="K116" s="44"/>
      <c r="L116" s="44"/>
      <c r="M116" s="44"/>
    </row>
    <row r="117" spans="1:13" ht="19.2" customHeight="1" x14ac:dyDescent="0.3">
      <c r="A117" s="13"/>
      <c r="B117" s="13"/>
      <c r="C117" s="13"/>
      <c r="D117" s="13"/>
      <c r="E117" s="5"/>
    </row>
    <row r="118" spans="1:13" ht="19.5" customHeight="1" x14ac:dyDescent="0.3">
      <c r="A118" s="42" t="s">
        <v>145</v>
      </c>
      <c r="B118" s="42"/>
      <c r="C118" s="42"/>
      <c r="D118" s="42"/>
      <c r="E118" s="43"/>
      <c r="F118" s="43"/>
      <c r="G118" s="43"/>
      <c r="H118" s="43"/>
      <c r="I118" s="43"/>
      <c r="J118" s="43"/>
      <c r="K118" s="43"/>
      <c r="L118" s="43"/>
      <c r="M118" s="43"/>
    </row>
    <row r="119" spans="1:13" ht="25.8" customHeight="1" x14ac:dyDescent="0.3">
      <c r="A119" s="42" t="s">
        <v>205</v>
      </c>
      <c r="B119" s="44"/>
      <c r="C119" s="44"/>
      <c r="D119" s="44"/>
      <c r="E119" s="44"/>
      <c r="F119" s="44"/>
      <c r="G119" s="44"/>
      <c r="H119" s="44"/>
      <c r="I119" s="44"/>
      <c r="J119" s="44"/>
      <c r="K119" s="44"/>
      <c r="L119" s="44"/>
      <c r="M119" s="44"/>
    </row>
    <row r="120" spans="1:13" ht="19.5" customHeight="1" x14ac:dyDescent="0.3">
      <c r="A120" s="42" t="s">
        <v>146</v>
      </c>
      <c r="B120" s="42"/>
      <c r="C120" s="42"/>
      <c r="D120" s="42"/>
      <c r="E120" s="43"/>
      <c r="F120" s="43"/>
      <c r="G120" s="43"/>
      <c r="H120" s="43"/>
      <c r="I120" s="43"/>
      <c r="J120" s="43"/>
      <c r="K120" s="43"/>
      <c r="L120" s="43"/>
      <c r="M120" s="43"/>
    </row>
    <row r="121" spans="1:13" ht="19.2" customHeight="1" x14ac:dyDescent="0.3">
      <c r="A121" s="45"/>
      <c r="B121" s="45"/>
      <c r="C121" s="45"/>
      <c r="D121" s="45"/>
      <c r="E121" s="5"/>
    </row>
    <row r="122" spans="1:13" ht="19.5" customHeight="1" x14ac:dyDescent="0.3">
      <c r="A122" s="42" t="s">
        <v>147</v>
      </c>
      <c r="B122" s="42"/>
      <c r="C122" s="42"/>
      <c r="D122" s="42"/>
      <c r="E122" s="43"/>
      <c r="F122" s="43"/>
      <c r="G122" s="43"/>
      <c r="H122" s="43"/>
      <c r="I122" s="43"/>
      <c r="J122" s="43"/>
      <c r="K122" s="43"/>
      <c r="L122" s="43"/>
      <c r="M122" s="43"/>
    </row>
    <row r="123" spans="1:13" ht="19.5" customHeight="1" x14ac:dyDescent="0.3">
      <c r="A123" s="46" t="s">
        <v>211</v>
      </c>
      <c r="B123" s="47"/>
      <c r="C123" s="47"/>
      <c r="D123" s="47"/>
      <c r="E123" s="47"/>
      <c r="F123" s="47"/>
      <c r="G123" s="47"/>
      <c r="H123" s="47"/>
      <c r="I123" s="47"/>
      <c r="J123" s="47"/>
      <c r="K123" s="47"/>
      <c r="L123" s="47"/>
      <c r="M123" s="47"/>
    </row>
    <row r="124" spans="1:13" ht="19.5" customHeight="1" x14ac:dyDescent="0.3">
      <c r="A124" s="42" t="s">
        <v>148</v>
      </c>
      <c r="B124" s="42"/>
      <c r="C124" s="42"/>
      <c r="D124" s="42"/>
      <c r="E124" s="43"/>
      <c r="F124" s="43"/>
      <c r="G124" s="43"/>
      <c r="H124" s="43"/>
      <c r="I124" s="43"/>
      <c r="J124" s="43"/>
      <c r="K124" s="43"/>
      <c r="L124" s="43"/>
      <c r="M124" s="43"/>
    </row>
    <row r="125" spans="1:13" ht="19.5" customHeight="1" x14ac:dyDescent="0.3">
      <c r="A125" s="42" t="s">
        <v>149</v>
      </c>
      <c r="B125" s="42"/>
      <c r="C125" s="42"/>
      <c r="D125" s="42"/>
      <c r="E125" s="43"/>
      <c r="F125" s="43"/>
      <c r="G125" s="43"/>
      <c r="H125" s="43"/>
      <c r="I125" s="43"/>
      <c r="J125" s="43"/>
      <c r="K125" s="43"/>
      <c r="L125" s="43"/>
      <c r="M125" s="43"/>
    </row>
  </sheetData>
  <mergeCells count="291">
    <mergeCell ref="A122:D122"/>
    <mergeCell ref="E122:M122"/>
    <mergeCell ref="A124:D124"/>
    <mergeCell ref="E124:M124"/>
    <mergeCell ref="A125:D125"/>
    <mergeCell ref="E125:M125"/>
    <mergeCell ref="A123:M123"/>
    <mergeCell ref="A115:D115"/>
    <mergeCell ref="E115:M115"/>
    <mergeCell ref="A118:D118"/>
    <mergeCell ref="E118:M118"/>
    <mergeCell ref="A120:D120"/>
    <mergeCell ref="E120:M120"/>
    <mergeCell ref="A116:M116"/>
    <mergeCell ref="A119:M119"/>
    <mergeCell ref="A121:D121"/>
    <mergeCell ref="B108:D108"/>
    <mergeCell ref="E108:G108"/>
    <mergeCell ref="H108:I108"/>
    <mergeCell ref="L108:M108"/>
    <mergeCell ref="A110:M110"/>
    <mergeCell ref="A111:D111"/>
    <mergeCell ref="E111:M111"/>
    <mergeCell ref="A113:M113"/>
    <mergeCell ref="A114:M114"/>
    <mergeCell ref="A112:M112"/>
    <mergeCell ref="B105:D105"/>
    <mergeCell ref="E105:G105"/>
    <mergeCell ref="H105:I105"/>
    <mergeCell ref="L105:M105"/>
    <mergeCell ref="B106:D106"/>
    <mergeCell ref="E106:G106"/>
    <mergeCell ref="H106:I106"/>
    <mergeCell ref="L106:M106"/>
    <mergeCell ref="B107:D107"/>
    <mergeCell ref="E107:G107"/>
    <mergeCell ref="H107:I107"/>
    <mergeCell ref="L107:M107"/>
    <mergeCell ref="A102:M102"/>
    <mergeCell ref="B103:D103"/>
    <mergeCell ref="E103:G103"/>
    <mergeCell ref="H103:I103"/>
    <mergeCell ref="L103:M103"/>
    <mergeCell ref="B104:D104"/>
    <mergeCell ref="E104:G104"/>
    <mergeCell ref="H104:I104"/>
    <mergeCell ref="L104:M104"/>
    <mergeCell ref="A98:D98"/>
    <mergeCell ref="E98:F98"/>
    <mergeCell ref="G98:H98"/>
    <mergeCell ref="I98:J98"/>
    <mergeCell ref="A99:D99"/>
    <mergeCell ref="E99:F99"/>
    <mergeCell ref="G99:H99"/>
    <mergeCell ref="I99:J99"/>
    <mergeCell ref="A100:D100"/>
    <mergeCell ref="E100:F100"/>
    <mergeCell ref="G100:H100"/>
    <mergeCell ref="I100:J100"/>
    <mergeCell ref="A95:D95"/>
    <mergeCell ref="E95:F95"/>
    <mergeCell ref="G95:H95"/>
    <mergeCell ref="I95:J95"/>
    <mergeCell ref="A96:D96"/>
    <mergeCell ref="E96:F96"/>
    <mergeCell ref="G96:H96"/>
    <mergeCell ref="I96:J96"/>
    <mergeCell ref="A97:D97"/>
    <mergeCell ref="E97:F97"/>
    <mergeCell ref="G97:H97"/>
    <mergeCell ref="I97:J97"/>
    <mergeCell ref="A91:B91"/>
    <mergeCell ref="C91:D91"/>
    <mergeCell ref="E91:F91"/>
    <mergeCell ref="G91:K91"/>
    <mergeCell ref="L91:M91"/>
    <mergeCell ref="A93:M93"/>
    <mergeCell ref="A94:D94"/>
    <mergeCell ref="E94:F94"/>
    <mergeCell ref="G94:H94"/>
    <mergeCell ref="I94:J94"/>
    <mergeCell ref="A89:B89"/>
    <mergeCell ref="C89:D89"/>
    <mergeCell ref="E89:F89"/>
    <mergeCell ref="G89:K89"/>
    <mergeCell ref="L89:M89"/>
    <mergeCell ref="A90:B90"/>
    <mergeCell ref="C90:D90"/>
    <mergeCell ref="E90:F90"/>
    <mergeCell ref="G90:K90"/>
    <mergeCell ref="L90:M90"/>
    <mergeCell ref="A87:B87"/>
    <mergeCell ref="C87:D87"/>
    <mergeCell ref="E87:F87"/>
    <mergeCell ref="G87:K87"/>
    <mergeCell ref="L87:M87"/>
    <mergeCell ref="A88:B88"/>
    <mergeCell ref="C88:D88"/>
    <mergeCell ref="E88:F88"/>
    <mergeCell ref="G88:K88"/>
    <mergeCell ref="L88:M88"/>
    <mergeCell ref="A85:B85"/>
    <mergeCell ref="C85:D85"/>
    <mergeCell ref="E85:F85"/>
    <mergeCell ref="G85:K85"/>
    <mergeCell ref="L85:M85"/>
    <mergeCell ref="A86:B86"/>
    <mergeCell ref="C86:D86"/>
    <mergeCell ref="E86:F86"/>
    <mergeCell ref="G86:K86"/>
    <mergeCell ref="L86:M86"/>
    <mergeCell ref="A83:B83"/>
    <mergeCell ref="C83:D83"/>
    <mergeCell ref="E83:F83"/>
    <mergeCell ref="G83:K83"/>
    <mergeCell ref="L83:M83"/>
    <mergeCell ref="A84:B84"/>
    <mergeCell ref="C84:D84"/>
    <mergeCell ref="E84:F84"/>
    <mergeCell ref="G84:K84"/>
    <mergeCell ref="L84:M84"/>
    <mergeCell ref="A80:M80"/>
    <mergeCell ref="A81:B81"/>
    <mergeCell ref="C81:D81"/>
    <mergeCell ref="E81:F81"/>
    <mergeCell ref="G81:K81"/>
    <mergeCell ref="L81:M81"/>
    <mergeCell ref="A82:B82"/>
    <mergeCell ref="C82:D82"/>
    <mergeCell ref="E82:F82"/>
    <mergeCell ref="G82:K82"/>
    <mergeCell ref="L82:M82"/>
    <mergeCell ref="B77:C77"/>
    <mergeCell ref="D77:E77"/>
    <mergeCell ref="F77:G77"/>
    <mergeCell ref="H77:I77"/>
    <mergeCell ref="J77:K77"/>
    <mergeCell ref="B78:C78"/>
    <mergeCell ref="D78:E78"/>
    <mergeCell ref="F78:G78"/>
    <mergeCell ref="H78:I78"/>
    <mergeCell ref="J78:K78"/>
    <mergeCell ref="B75:C75"/>
    <mergeCell ref="D75:E75"/>
    <mergeCell ref="F75:G75"/>
    <mergeCell ref="H75:I75"/>
    <mergeCell ref="J75:K75"/>
    <mergeCell ref="B76:C76"/>
    <mergeCell ref="D76:E76"/>
    <mergeCell ref="F76:G76"/>
    <mergeCell ref="H76:I76"/>
    <mergeCell ref="J76:K76"/>
    <mergeCell ref="B73:C73"/>
    <mergeCell ref="D73:E73"/>
    <mergeCell ref="F73:G73"/>
    <mergeCell ref="H73:I73"/>
    <mergeCell ref="J73:K73"/>
    <mergeCell ref="B74:C74"/>
    <mergeCell ref="D74:E74"/>
    <mergeCell ref="F74:G74"/>
    <mergeCell ref="H74:I74"/>
    <mergeCell ref="J74:K74"/>
    <mergeCell ref="B71:C71"/>
    <mergeCell ref="D71:E71"/>
    <mergeCell ref="F71:G71"/>
    <mergeCell ref="H71:I71"/>
    <mergeCell ref="J71:K71"/>
    <mergeCell ref="B72:C72"/>
    <mergeCell ref="D72:E72"/>
    <mergeCell ref="F72:G72"/>
    <mergeCell ref="H72:I72"/>
    <mergeCell ref="J72:K72"/>
    <mergeCell ref="B69:C69"/>
    <mergeCell ref="D69:E69"/>
    <mergeCell ref="F69:G69"/>
    <mergeCell ref="H69:I69"/>
    <mergeCell ref="J69:K69"/>
    <mergeCell ref="B70:C70"/>
    <mergeCell ref="D70:E70"/>
    <mergeCell ref="F70:G70"/>
    <mergeCell ref="H70:I70"/>
    <mergeCell ref="J70:K70"/>
    <mergeCell ref="H62:I62"/>
    <mergeCell ref="H63:I63"/>
    <mergeCell ref="H64:I64"/>
    <mergeCell ref="H65:I65"/>
    <mergeCell ref="A67:M67"/>
    <mergeCell ref="B68:C68"/>
    <mergeCell ref="D68:E68"/>
    <mergeCell ref="F68:G68"/>
    <mergeCell ref="H68:I68"/>
    <mergeCell ref="J68:K68"/>
    <mergeCell ref="H53:I53"/>
    <mergeCell ref="H54:I54"/>
    <mergeCell ref="H55:I55"/>
    <mergeCell ref="H56:I56"/>
    <mergeCell ref="H57:I57"/>
    <mergeCell ref="H58:I58"/>
    <mergeCell ref="H59:I59"/>
    <mergeCell ref="H60:I60"/>
    <mergeCell ref="H61:I61"/>
    <mergeCell ref="H44:I44"/>
    <mergeCell ref="H45:I45"/>
    <mergeCell ref="H46:I46"/>
    <mergeCell ref="H47:I47"/>
    <mergeCell ref="H48:I48"/>
    <mergeCell ref="H49:I49"/>
    <mergeCell ref="H50:I50"/>
    <mergeCell ref="H51:I51"/>
    <mergeCell ref="H52:I52"/>
    <mergeCell ref="H35:I35"/>
    <mergeCell ref="H36:I36"/>
    <mergeCell ref="H37:I37"/>
    <mergeCell ref="H38:I38"/>
    <mergeCell ref="H39:I39"/>
    <mergeCell ref="H40:I40"/>
    <mergeCell ref="H41:I41"/>
    <mergeCell ref="H42:I42"/>
    <mergeCell ref="H43:I43"/>
    <mergeCell ref="A31:D31"/>
    <mergeCell ref="E31:F31"/>
    <mergeCell ref="H31:K31"/>
    <mergeCell ref="L31:M31"/>
    <mergeCell ref="A32:D32"/>
    <mergeCell ref="E32:F32"/>
    <mergeCell ref="H32:K32"/>
    <mergeCell ref="L32:M32"/>
    <mergeCell ref="A34:M34"/>
    <mergeCell ref="A28:M28"/>
    <mergeCell ref="A29:D29"/>
    <mergeCell ref="E29:F29"/>
    <mergeCell ref="H29:K29"/>
    <mergeCell ref="L29:M29"/>
    <mergeCell ref="A30:D30"/>
    <mergeCell ref="E30:F30"/>
    <mergeCell ref="H30:K30"/>
    <mergeCell ref="L30:M30"/>
    <mergeCell ref="A24:D24"/>
    <mergeCell ref="E24:G24"/>
    <mergeCell ref="H24:M24"/>
    <mergeCell ref="A25:D25"/>
    <mergeCell ref="E25:G25"/>
    <mergeCell ref="H25:M25"/>
    <mergeCell ref="A26:D26"/>
    <mergeCell ref="E26:G26"/>
    <mergeCell ref="H26:M26"/>
    <mergeCell ref="A21:D21"/>
    <mergeCell ref="E21:G21"/>
    <mergeCell ref="H21:M21"/>
    <mergeCell ref="A22:D22"/>
    <mergeCell ref="E22:G22"/>
    <mergeCell ref="H22:M22"/>
    <mergeCell ref="A23:D23"/>
    <mergeCell ref="E23:G23"/>
    <mergeCell ref="H23:M23"/>
    <mergeCell ref="A18:D18"/>
    <mergeCell ref="E18:G18"/>
    <mergeCell ref="H18:M18"/>
    <mergeCell ref="A19:D19"/>
    <mergeCell ref="E19:G19"/>
    <mergeCell ref="H19:M19"/>
    <mergeCell ref="A20:D20"/>
    <mergeCell ref="E20:G20"/>
    <mergeCell ref="H20:M20"/>
    <mergeCell ref="A15:D15"/>
    <mergeCell ref="E15:G15"/>
    <mergeCell ref="H15:M15"/>
    <mergeCell ref="A16:D16"/>
    <mergeCell ref="E16:G16"/>
    <mergeCell ref="H16:M16"/>
    <mergeCell ref="A17:D17"/>
    <mergeCell ref="E17:G17"/>
    <mergeCell ref="H17:M17"/>
    <mergeCell ref="A9:C9"/>
    <mergeCell ref="D9:M9"/>
    <mergeCell ref="A10:C10"/>
    <mergeCell ref="D10:M10"/>
    <mergeCell ref="A11:C11"/>
    <mergeCell ref="D11:M11"/>
    <mergeCell ref="A12:C12"/>
    <mergeCell ref="D12:M12"/>
    <mergeCell ref="A14:M14"/>
    <mergeCell ref="A2:M2"/>
    <mergeCell ref="A3:M3"/>
    <mergeCell ref="A5:M5"/>
    <mergeCell ref="A6:C6"/>
    <mergeCell ref="D6:M6"/>
    <mergeCell ref="A7:C7"/>
    <mergeCell ref="D7:M7"/>
    <mergeCell ref="A8:C8"/>
    <mergeCell ref="D8:M8"/>
  </mergeCells>
  <dataValidations count="12">
    <dataValidation type="list" allowBlank="1" sqref="F36:F65" xr:uid="{00000000-0002-0000-0200-000000000000}">
      <formula1>"Form Dev,Report Dev,FSD Preparation,CR Fix,Unit Testing,Code Review,DB Script,Integration,Documentation,API Dev,UI Component"</formula1>
      <formula2>0</formula2>
    </dataValidation>
    <dataValidation type="list" allowBlank="1" sqref="E36:E65" xr:uid="{00000000-0002-0000-0200-000001000000}">
      <formula1>"ERP 7.4,SPINRISE,SPINNOVA,Internal"</formula1>
      <formula2>0</formula2>
    </dataValidation>
    <dataValidation type="list" allowBlank="1" sqref="J36:J65" xr:uid="{00000000-0002-0000-0200-000002000000}">
      <formula1>"Stage-0 Design,Stage-1 Dev,Stage-2 Unit Test,Stage-3 TL Review,Stage-4 IST,Stage-5 CEO Demo,Deployed"</formula1>
      <formula2>0</formula2>
    </dataValidation>
    <dataValidation type="list" allowBlank="1" sqref="K36:K65" xr:uid="{00000000-0002-0000-0200-000003000000}">
      <formula1>"Approved,Revise &amp; Resubmit,Pending Review,Not Started"</formula1>
      <formula2>0</formula2>
    </dataValidation>
    <dataValidation type="list" allowBlank="1" sqref="L36:L65" xr:uid="{00000000-0002-0000-0200-000004000000}">
      <formula1>"Claude,ChatGPT,Gemini,DeepSeek,Multiple,None"</formula1>
      <formula2>0</formula2>
    </dataValidation>
    <dataValidation type="list" allowBlank="1" sqref="F69:F78" xr:uid="{00000000-0002-0000-0200-000005000000}">
      <formula1>"FSD Draft,TL Review,CEO Approval,Dev In Progress,IST Testing,CEO Demo,Deployed,On Hold"</formula1>
      <formula2>0</formula2>
    </dataValidation>
    <dataValidation type="list" allowBlank="1" sqref="L69:L78" xr:uid="{00000000-0002-0000-0200-000006000000}">
      <formula1>"On Track,Delayed,Completed,Blocked,Not Started"</formula1>
      <formula2>0</formula2>
    </dataValidation>
    <dataValidation type="list" allowBlank="1" sqref="A82:A91" xr:uid="{00000000-0002-0000-0200-000007000000}">
      <formula1>"Client On-Site Visit,Remote Demo,Pre-Sales Visit,Internal Meeting,Training Session,RSD Preparation,BD Activity,Documentation"</formula1>
      <formula2>0</formula2>
    </dataValidation>
    <dataValidation type="list" allowBlank="1" sqref="L82:L91 K104:K108" xr:uid="{00000000-0002-0000-0200-000008000000}">
      <formula1>"Completed,In Progress,Planned"</formula1>
      <formula2>0</formula2>
    </dataValidation>
    <dataValidation type="list" allowBlank="1" sqref="K95:K100" xr:uid="{00000000-0002-0000-0200-000009000000}">
      <formula1>"Yes,No,Partial"</formula1>
      <formula2>0</formula2>
    </dataValidation>
    <dataValidation type="list" allowBlank="1" sqref="L95:L100" xr:uid="{00000000-0002-0000-0200-00000A000000}">
      <formula1>"Completed,Partially Submitted,Missed"</formula1>
      <formula2>0</formula2>
    </dataValidation>
    <dataValidation type="list" allowBlank="1" sqref="B104:B108" xr:uid="{00000000-0002-0000-0200-00000B000000}">
      <formula1>"AI / LLM Tools,ERP Domain – Spinning,ERP Domain – Paper Mill,SpinRise Module Knowledge,SpinNova Use Case Knowledge,ASP.NET Core / React.js,SQL Server / DB Tuning,VB6 / Legacy ERP,Certification / Course,Other"</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2:M136"/>
  <sheetViews>
    <sheetView zoomScaleNormal="100" workbookViewId="0">
      <pane xSplit="1" ySplit="5" topLeftCell="B123" activePane="bottomRight" state="frozen"/>
      <selection pane="topRight" activeCell="B1" sqref="B1"/>
      <selection pane="bottomLeft" activeCell="A6" sqref="A6"/>
      <selection pane="bottomRight"/>
    </sheetView>
  </sheetViews>
  <sheetFormatPr defaultColWidth="8.6640625" defaultRowHeight="14.4" x14ac:dyDescent="0.3"/>
  <cols>
    <col min="1" max="1" width="4" customWidth="1"/>
    <col min="2" max="2" width="22" customWidth="1"/>
    <col min="3" max="3" width="18" customWidth="1"/>
    <col min="4" max="7" width="14" customWidth="1"/>
    <col min="8" max="9" width="22" customWidth="1"/>
    <col min="10" max="13" width="14" customWidth="1"/>
  </cols>
  <sheetData>
    <row r="2" spans="1:13" ht="36" customHeight="1" x14ac:dyDescent="0.3">
      <c r="A2" s="14" t="s">
        <v>48</v>
      </c>
      <c r="B2" s="14"/>
      <c r="C2" s="14"/>
      <c r="D2" s="14"/>
      <c r="E2" s="14"/>
      <c r="F2" s="14"/>
      <c r="G2" s="14"/>
      <c r="H2" s="14"/>
      <c r="I2" s="14"/>
      <c r="J2" s="14"/>
      <c r="K2" s="14"/>
      <c r="L2" s="14"/>
      <c r="M2" s="14"/>
    </row>
    <row r="3" spans="1:13" ht="19.5" customHeight="1" x14ac:dyDescent="0.3">
      <c r="A3" s="51" t="s">
        <v>174</v>
      </c>
      <c r="B3" s="51"/>
      <c r="C3" s="51"/>
      <c r="D3" s="51"/>
      <c r="E3" s="51"/>
      <c r="F3" s="51"/>
      <c r="G3" s="51"/>
      <c r="H3" s="51"/>
      <c r="I3" s="51"/>
      <c r="J3" s="51"/>
      <c r="K3" s="51"/>
      <c r="L3" s="51"/>
      <c r="M3" s="51"/>
    </row>
    <row r="5" spans="1:13" ht="15" customHeight="1" x14ac:dyDescent="0.3">
      <c r="A5" s="16" t="s">
        <v>50</v>
      </c>
      <c r="B5" s="16"/>
      <c r="C5" s="16"/>
      <c r="D5" s="16"/>
      <c r="E5" s="16"/>
      <c r="F5" s="16"/>
      <c r="G5" s="16"/>
      <c r="H5" s="16"/>
      <c r="I5" s="16"/>
      <c r="J5" s="16"/>
      <c r="K5" s="16"/>
      <c r="L5" s="16"/>
      <c r="M5" s="16"/>
    </row>
    <row r="6" spans="1:13" ht="15" customHeight="1" x14ac:dyDescent="0.3">
      <c r="A6" s="17" t="s">
        <v>51</v>
      </c>
      <c r="B6" s="17"/>
      <c r="C6" s="17"/>
      <c r="D6" s="18"/>
      <c r="E6" s="18"/>
      <c r="F6" s="18"/>
      <c r="G6" s="18"/>
      <c r="H6" s="18"/>
      <c r="I6" s="18"/>
      <c r="J6" s="18"/>
      <c r="K6" s="18"/>
      <c r="L6" s="18"/>
      <c r="M6" s="18"/>
    </row>
    <row r="7" spans="1:13" ht="15" customHeight="1" x14ac:dyDescent="0.3">
      <c r="A7" s="17" t="s">
        <v>52</v>
      </c>
      <c r="B7" s="17"/>
      <c r="C7" s="17"/>
      <c r="D7" s="18"/>
      <c r="E7" s="18"/>
      <c r="F7" s="18"/>
      <c r="G7" s="18"/>
      <c r="H7" s="18"/>
      <c r="I7" s="18"/>
      <c r="J7" s="18"/>
      <c r="K7" s="18"/>
      <c r="L7" s="18"/>
      <c r="M7" s="18"/>
    </row>
    <row r="8" spans="1:13" ht="15" customHeight="1" x14ac:dyDescent="0.3">
      <c r="A8" s="17" t="s">
        <v>53</v>
      </c>
      <c r="B8" s="17"/>
      <c r="C8" s="17"/>
      <c r="D8" s="18"/>
      <c r="E8" s="18"/>
      <c r="F8" s="18"/>
      <c r="G8" s="18"/>
      <c r="H8" s="18"/>
      <c r="I8" s="18"/>
      <c r="J8" s="18"/>
      <c r="K8" s="18"/>
      <c r="L8" s="18"/>
      <c r="M8" s="18"/>
    </row>
    <row r="9" spans="1:13" ht="15" customHeight="1" x14ac:dyDescent="0.3">
      <c r="A9" s="17" t="s">
        <v>54</v>
      </c>
      <c r="B9" s="17"/>
      <c r="C9" s="17"/>
      <c r="D9" s="18" t="s">
        <v>55</v>
      </c>
      <c r="E9" s="18"/>
      <c r="F9" s="18"/>
      <c r="G9" s="18"/>
      <c r="H9" s="18"/>
      <c r="I9" s="18"/>
      <c r="J9" s="18"/>
      <c r="K9" s="18"/>
      <c r="L9" s="18"/>
      <c r="M9" s="18"/>
    </row>
    <row r="10" spans="1:13" ht="15" customHeight="1" x14ac:dyDescent="0.3">
      <c r="A10" s="17" t="s">
        <v>56</v>
      </c>
      <c r="B10" s="17"/>
      <c r="C10" s="17"/>
      <c r="D10" s="18" t="s">
        <v>57</v>
      </c>
      <c r="E10" s="18"/>
      <c r="F10" s="18"/>
      <c r="G10" s="18"/>
      <c r="H10" s="18"/>
      <c r="I10" s="18"/>
      <c r="J10" s="18"/>
      <c r="K10" s="18"/>
      <c r="L10" s="18"/>
      <c r="M10" s="18"/>
    </row>
    <row r="11" spans="1:13" ht="15" customHeight="1" x14ac:dyDescent="0.3">
      <c r="A11" s="17" t="s">
        <v>58</v>
      </c>
      <c r="B11" s="17"/>
      <c r="C11" s="17"/>
      <c r="D11" s="18" t="s">
        <v>59</v>
      </c>
      <c r="E11" s="18"/>
      <c r="F11" s="18"/>
      <c r="G11" s="18"/>
      <c r="H11" s="18"/>
      <c r="I11" s="18"/>
      <c r="J11" s="18"/>
      <c r="K11" s="18"/>
      <c r="L11" s="18"/>
      <c r="M11" s="18"/>
    </row>
    <row r="12" spans="1:13" ht="15" customHeight="1" x14ac:dyDescent="0.3">
      <c r="A12" s="17" t="s">
        <v>60</v>
      </c>
      <c r="B12" s="17"/>
      <c r="C12" s="17"/>
      <c r="D12" s="18" t="s">
        <v>61</v>
      </c>
      <c r="E12" s="18"/>
      <c r="F12" s="18"/>
      <c r="G12" s="18"/>
      <c r="H12" s="18"/>
      <c r="I12" s="18"/>
      <c r="J12" s="18"/>
      <c r="K12" s="18"/>
      <c r="L12" s="18"/>
      <c r="M12" s="18"/>
    </row>
    <row r="14" spans="1:13" ht="15" customHeight="1" x14ac:dyDescent="0.3">
      <c r="A14" s="16" t="s">
        <v>62</v>
      </c>
      <c r="B14" s="16"/>
      <c r="C14" s="16"/>
      <c r="D14" s="16"/>
      <c r="E14" s="16"/>
      <c r="F14" s="16"/>
      <c r="G14" s="16"/>
      <c r="H14" s="16"/>
      <c r="I14" s="16"/>
      <c r="J14" s="16"/>
      <c r="K14" s="16"/>
      <c r="L14" s="16"/>
      <c r="M14" s="16"/>
    </row>
    <row r="15" spans="1:13" ht="15" customHeight="1" x14ac:dyDescent="0.3">
      <c r="A15" s="20" t="s">
        <v>63</v>
      </c>
      <c r="B15" s="20"/>
      <c r="C15" s="20"/>
      <c r="D15" s="20"/>
      <c r="E15" s="20" t="s">
        <v>64</v>
      </c>
      <c r="F15" s="20"/>
      <c r="G15" s="20"/>
      <c r="H15" s="20" t="s">
        <v>65</v>
      </c>
      <c r="I15" s="20"/>
      <c r="J15" s="20"/>
      <c r="K15" s="20"/>
      <c r="L15" s="20"/>
      <c r="M15" s="20"/>
    </row>
    <row r="16" spans="1:13" ht="18" customHeight="1" x14ac:dyDescent="0.3">
      <c r="A16" s="21" t="s">
        <v>66</v>
      </c>
      <c r="B16" s="21"/>
      <c r="C16" s="21"/>
      <c r="D16" s="21"/>
      <c r="E16" s="22"/>
      <c r="F16" s="22"/>
      <c r="G16" s="22"/>
      <c r="H16" s="23" t="s">
        <v>67</v>
      </c>
      <c r="I16" s="23"/>
      <c r="J16" s="23"/>
      <c r="K16" s="23"/>
      <c r="L16" s="23"/>
      <c r="M16" s="23"/>
    </row>
    <row r="17" spans="1:13" ht="18" customHeight="1" x14ac:dyDescent="0.3">
      <c r="A17" s="21" t="s">
        <v>68</v>
      </c>
      <c r="B17" s="21"/>
      <c r="C17" s="21"/>
      <c r="D17" s="21"/>
      <c r="E17" s="22"/>
      <c r="F17" s="22"/>
      <c r="G17" s="22"/>
      <c r="H17" s="23" t="s">
        <v>69</v>
      </c>
      <c r="I17" s="23"/>
      <c r="J17" s="23"/>
      <c r="K17" s="23"/>
      <c r="L17" s="23"/>
      <c r="M17" s="23"/>
    </row>
    <row r="18" spans="1:13" ht="18" customHeight="1" x14ac:dyDescent="0.3">
      <c r="A18" s="17" t="s">
        <v>70</v>
      </c>
      <c r="B18" s="17"/>
      <c r="C18" s="17"/>
      <c r="D18" s="17"/>
      <c r="E18" s="24" t="str">
        <f>IF(AND(ISNUMBER(E16),ISNUMBER(E17)),E16-E17,"")</f>
        <v/>
      </c>
      <c r="F18" s="24"/>
      <c r="G18" s="24"/>
      <c r="H18" s="23" t="s">
        <v>71</v>
      </c>
      <c r="I18" s="23"/>
      <c r="J18" s="23"/>
      <c r="K18" s="23"/>
      <c r="L18" s="23"/>
      <c r="M18" s="23"/>
    </row>
    <row r="19" spans="1:13" ht="18" customHeight="1" x14ac:dyDescent="0.3">
      <c r="A19" s="21" t="s">
        <v>72</v>
      </c>
      <c r="B19" s="21"/>
      <c r="C19" s="21"/>
      <c r="D19" s="21"/>
      <c r="E19" s="22"/>
      <c r="F19" s="22"/>
      <c r="G19" s="22"/>
      <c r="H19" s="23" t="s">
        <v>73</v>
      </c>
      <c r="I19" s="23"/>
      <c r="J19" s="23"/>
      <c r="K19" s="23"/>
      <c r="L19" s="23"/>
      <c r="M19" s="23"/>
    </row>
    <row r="20" spans="1:13" ht="18" customHeight="1" x14ac:dyDescent="0.3">
      <c r="A20" s="21" t="s">
        <v>74</v>
      </c>
      <c r="B20" s="21"/>
      <c r="C20" s="21"/>
      <c r="D20" s="21"/>
      <c r="E20" s="22"/>
      <c r="F20" s="22"/>
      <c r="G20" s="22"/>
      <c r="H20" s="23" t="s">
        <v>75</v>
      </c>
      <c r="I20" s="23"/>
      <c r="J20" s="23"/>
      <c r="K20" s="23"/>
      <c r="L20" s="23"/>
      <c r="M20" s="23"/>
    </row>
    <row r="21" spans="1:13" ht="18" customHeight="1" x14ac:dyDescent="0.3">
      <c r="A21" s="21" t="s">
        <v>76</v>
      </c>
      <c r="B21" s="21"/>
      <c r="C21" s="21"/>
      <c r="D21" s="21"/>
      <c r="E21" s="22"/>
      <c r="F21" s="22"/>
      <c r="G21" s="22"/>
      <c r="H21" s="23" t="s">
        <v>77</v>
      </c>
      <c r="I21" s="23"/>
      <c r="J21" s="23"/>
      <c r="K21" s="23"/>
      <c r="L21" s="23"/>
      <c r="M21" s="23"/>
    </row>
    <row r="22" spans="1:13" ht="18" customHeight="1" x14ac:dyDescent="0.3">
      <c r="A22" s="21" t="s">
        <v>78</v>
      </c>
      <c r="B22" s="21"/>
      <c r="C22" s="21"/>
      <c r="D22" s="21"/>
      <c r="E22" s="22"/>
      <c r="F22" s="22"/>
      <c r="G22" s="22"/>
      <c r="H22" s="23" t="s">
        <v>79</v>
      </c>
      <c r="I22" s="23"/>
      <c r="J22" s="23"/>
      <c r="K22" s="23"/>
      <c r="L22" s="23"/>
      <c r="M22" s="23"/>
    </row>
    <row r="23" spans="1:13" ht="18" customHeight="1" x14ac:dyDescent="0.3">
      <c r="A23" s="17" t="s">
        <v>80</v>
      </c>
      <c r="B23" s="17"/>
      <c r="C23" s="17"/>
      <c r="D23" s="17"/>
      <c r="E23" s="24" t="str">
        <f>IF(AND(ISNUMBER(E19),ISNUMBER(E21)),E19-E21,"")</f>
        <v/>
      </c>
      <c r="F23" s="24"/>
      <c r="G23" s="24"/>
      <c r="H23" s="23" t="s">
        <v>81</v>
      </c>
      <c r="I23" s="23"/>
      <c r="J23" s="23"/>
      <c r="K23" s="23"/>
      <c r="L23" s="23"/>
      <c r="M23" s="23"/>
    </row>
    <row r="24" spans="1:13" ht="18" customHeight="1" x14ac:dyDescent="0.3">
      <c r="A24" s="17" t="s">
        <v>82</v>
      </c>
      <c r="B24" s="17"/>
      <c r="C24" s="17"/>
      <c r="D24" s="17"/>
      <c r="E24" s="25" t="str">
        <f>IF(AND(ISNUMBER(E18),E18&gt;0),E19/E18,"")</f>
        <v/>
      </c>
      <c r="F24" s="25"/>
      <c r="G24" s="25"/>
      <c r="H24" s="23" t="s">
        <v>83</v>
      </c>
      <c r="I24" s="23"/>
      <c r="J24" s="23"/>
      <c r="K24" s="23"/>
      <c r="L24" s="23"/>
      <c r="M24" s="23"/>
    </row>
    <row r="25" spans="1:13" ht="18" customHeight="1" x14ac:dyDescent="0.3">
      <c r="A25" s="21" t="s">
        <v>84</v>
      </c>
      <c r="B25" s="21"/>
      <c r="C25" s="21"/>
      <c r="D25" s="21"/>
      <c r="E25" s="22"/>
      <c r="F25" s="22"/>
      <c r="G25" s="22"/>
      <c r="H25" s="23" t="s">
        <v>85</v>
      </c>
      <c r="I25" s="23"/>
      <c r="J25" s="23"/>
      <c r="K25" s="23"/>
      <c r="L25" s="23"/>
      <c r="M25" s="23"/>
    </row>
    <row r="26" spans="1:13" ht="19.5" customHeight="1" x14ac:dyDescent="0.3">
      <c r="A26" s="26" t="s">
        <v>86</v>
      </c>
      <c r="B26" s="26"/>
      <c r="C26" s="26"/>
      <c r="D26" s="26"/>
      <c r="E26" s="27" t="str">
        <f>IF(AND(ISNUMBER(E16),ISNUMBER(E17),ISNUMBER(E18),ISNUMBER(E20),ISNUMBER(E21)),IF(E16=(E18+E17+E20+E21),"OK - Submit","MISMATCH - Review"),"Fill B1 to B6 first")</f>
        <v>Fill B1 to B6 first</v>
      </c>
      <c r="F26" s="27"/>
      <c r="G26" s="27"/>
      <c r="H26" s="28" t="s">
        <v>87</v>
      </c>
      <c r="I26" s="28"/>
      <c r="J26" s="28"/>
      <c r="K26" s="28"/>
      <c r="L26" s="28"/>
      <c r="M26" s="28"/>
    </row>
    <row r="28" spans="1:13" ht="15" customHeight="1" x14ac:dyDescent="0.3">
      <c r="A28" s="29" t="s">
        <v>88</v>
      </c>
      <c r="B28" s="29"/>
      <c r="C28" s="29"/>
      <c r="D28" s="29"/>
      <c r="E28" s="29"/>
      <c r="F28" s="29"/>
      <c r="G28" s="29"/>
      <c r="H28" s="29"/>
      <c r="I28" s="29"/>
      <c r="J28" s="29"/>
      <c r="K28" s="29"/>
      <c r="L28" s="29"/>
      <c r="M28" s="29"/>
    </row>
    <row r="29" spans="1:13" ht="21.75" customHeight="1" x14ac:dyDescent="0.3">
      <c r="A29" s="17" t="s">
        <v>175</v>
      </c>
      <c r="B29" s="17"/>
      <c r="C29" s="17"/>
      <c r="D29" s="17"/>
      <c r="E29" s="30"/>
      <c r="F29" s="30"/>
      <c r="G29" s="5"/>
      <c r="H29" s="17" t="s">
        <v>176</v>
      </c>
      <c r="I29" s="17"/>
      <c r="J29" s="17"/>
      <c r="K29" s="17"/>
      <c r="L29" s="30"/>
      <c r="M29" s="30"/>
    </row>
    <row r="30" spans="1:13" ht="21.75" customHeight="1" x14ac:dyDescent="0.3">
      <c r="A30" s="17" t="s">
        <v>177</v>
      </c>
      <c r="B30" s="17"/>
      <c r="C30" s="17"/>
      <c r="D30" s="17"/>
      <c r="E30" s="30"/>
      <c r="F30" s="30"/>
      <c r="G30" s="5"/>
      <c r="H30" s="17" t="s">
        <v>178</v>
      </c>
      <c r="I30" s="17"/>
      <c r="J30" s="17"/>
      <c r="K30" s="17"/>
      <c r="L30" s="30"/>
      <c r="M30" s="30"/>
    </row>
    <row r="31" spans="1:13" ht="21.75" customHeight="1" x14ac:dyDescent="0.3">
      <c r="A31" s="17" t="s">
        <v>179</v>
      </c>
      <c r="B31" s="17"/>
      <c r="C31" s="17"/>
      <c r="D31" s="17"/>
      <c r="E31" s="30"/>
      <c r="F31" s="30"/>
      <c r="G31" s="5"/>
      <c r="H31" s="17" t="s">
        <v>180</v>
      </c>
      <c r="I31" s="17"/>
      <c r="J31" s="17"/>
      <c r="K31" s="17"/>
      <c r="L31" s="30"/>
      <c r="M31" s="30"/>
    </row>
    <row r="32" spans="1:13" ht="21.75" customHeight="1" x14ac:dyDescent="0.3">
      <c r="A32" s="17" t="s">
        <v>181</v>
      </c>
      <c r="B32" s="17"/>
      <c r="C32" s="17"/>
      <c r="D32" s="17"/>
      <c r="E32" s="30"/>
      <c r="F32" s="30"/>
      <c r="G32" s="5"/>
      <c r="H32" s="17" t="s">
        <v>182</v>
      </c>
      <c r="I32" s="17"/>
      <c r="J32" s="17"/>
      <c r="K32" s="17"/>
      <c r="L32" s="30"/>
      <c r="M32" s="30"/>
    </row>
    <row r="34" spans="1:13" ht="15" customHeight="1" x14ac:dyDescent="0.3">
      <c r="A34" s="16" t="s">
        <v>183</v>
      </c>
      <c r="B34" s="16"/>
      <c r="C34" s="16"/>
      <c r="D34" s="16"/>
      <c r="E34" s="16"/>
      <c r="F34" s="16"/>
      <c r="G34" s="16"/>
      <c r="H34" s="16"/>
      <c r="I34" s="16"/>
      <c r="J34" s="16"/>
      <c r="K34" s="16"/>
      <c r="L34" s="16"/>
      <c r="M34" s="16"/>
    </row>
    <row r="35" spans="1:13" ht="21.75" customHeight="1" x14ac:dyDescent="0.3">
      <c r="A35" s="6" t="s">
        <v>98</v>
      </c>
      <c r="B35" s="6" t="s">
        <v>99</v>
      </c>
      <c r="C35" s="6" t="s">
        <v>100</v>
      </c>
      <c r="D35" s="6" t="s">
        <v>101</v>
      </c>
      <c r="E35" s="6" t="s">
        <v>102</v>
      </c>
      <c r="F35" s="6" t="s">
        <v>32</v>
      </c>
      <c r="G35" s="6" t="s">
        <v>103</v>
      </c>
      <c r="H35" s="31" t="s">
        <v>104</v>
      </c>
      <c r="I35" s="31"/>
      <c r="J35" s="31"/>
      <c r="K35" s="6" t="s">
        <v>105</v>
      </c>
      <c r="L35" s="6" t="s">
        <v>38</v>
      </c>
      <c r="M35" s="6" t="s">
        <v>106</v>
      </c>
    </row>
    <row r="36" spans="1:13" ht="21.75" customHeight="1" x14ac:dyDescent="0.3">
      <c r="A36" s="7">
        <v>1</v>
      </c>
      <c r="B36" s="7"/>
      <c r="C36" s="7"/>
      <c r="D36" s="7"/>
      <c r="E36" s="7"/>
      <c r="F36" s="7"/>
      <c r="G36" s="7"/>
      <c r="H36" s="32"/>
      <c r="I36" s="32"/>
      <c r="J36" s="32"/>
      <c r="K36" s="7"/>
      <c r="L36" s="7"/>
      <c r="M36" s="7"/>
    </row>
    <row r="37" spans="1:13" ht="21.75" customHeight="1" x14ac:dyDescent="0.3">
      <c r="A37" s="8">
        <v>2</v>
      </c>
      <c r="B37" s="8"/>
      <c r="C37" s="8"/>
      <c r="D37" s="8"/>
      <c r="E37" s="8"/>
      <c r="F37" s="8"/>
      <c r="G37" s="8"/>
      <c r="H37" s="33"/>
      <c r="I37" s="33"/>
      <c r="J37" s="33"/>
      <c r="K37" s="8"/>
      <c r="L37" s="8"/>
      <c r="M37" s="8"/>
    </row>
    <row r="38" spans="1:13" ht="21.75" customHeight="1" x14ac:dyDescent="0.3">
      <c r="A38" s="7">
        <v>3</v>
      </c>
      <c r="B38" s="7"/>
      <c r="C38" s="7"/>
      <c r="D38" s="7"/>
      <c r="E38" s="7"/>
      <c r="F38" s="7"/>
      <c r="G38" s="7"/>
      <c r="H38" s="32"/>
      <c r="I38" s="32"/>
      <c r="J38" s="32"/>
      <c r="K38" s="7"/>
      <c r="L38" s="7"/>
      <c r="M38" s="7"/>
    </row>
    <row r="39" spans="1:13" ht="21.75" customHeight="1" x14ac:dyDescent="0.3">
      <c r="A39" s="8">
        <v>4</v>
      </c>
      <c r="B39" s="8"/>
      <c r="C39" s="8"/>
      <c r="D39" s="8"/>
      <c r="E39" s="8"/>
      <c r="F39" s="8"/>
      <c r="G39" s="8"/>
      <c r="H39" s="33"/>
      <c r="I39" s="33"/>
      <c r="J39" s="33"/>
      <c r="K39" s="8"/>
      <c r="L39" s="8"/>
      <c r="M39" s="8"/>
    </row>
    <row r="40" spans="1:13" ht="21.75" customHeight="1" x14ac:dyDescent="0.3">
      <c r="A40" s="7">
        <v>5</v>
      </c>
      <c r="B40" s="7"/>
      <c r="C40" s="7"/>
      <c r="D40" s="7"/>
      <c r="E40" s="7"/>
      <c r="F40" s="7"/>
      <c r="G40" s="7"/>
      <c r="H40" s="32"/>
      <c r="I40" s="32"/>
      <c r="J40" s="32"/>
      <c r="K40" s="7"/>
      <c r="L40" s="7"/>
      <c r="M40" s="7"/>
    </row>
    <row r="41" spans="1:13" ht="21.75" customHeight="1" x14ac:dyDescent="0.3">
      <c r="A41" s="8">
        <v>6</v>
      </c>
      <c r="B41" s="8"/>
      <c r="C41" s="8"/>
      <c r="D41" s="8"/>
      <c r="E41" s="8"/>
      <c r="F41" s="8"/>
      <c r="G41" s="8"/>
      <c r="H41" s="33"/>
      <c r="I41" s="33"/>
      <c r="J41" s="33"/>
      <c r="K41" s="8"/>
      <c r="L41" s="8"/>
      <c r="M41" s="8"/>
    </row>
    <row r="42" spans="1:13" ht="21.75" customHeight="1" x14ac:dyDescent="0.3">
      <c r="A42" s="7">
        <v>7</v>
      </c>
      <c r="B42" s="7"/>
      <c r="C42" s="7"/>
      <c r="D42" s="7"/>
      <c r="E42" s="7"/>
      <c r="F42" s="7"/>
      <c r="G42" s="7"/>
      <c r="H42" s="32"/>
      <c r="I42" s="32"/>
      <c r="J42" s="32"/>
      <c r="K42" s="7"/>
      <c r="L42" s="7"/>
      <c r="M42" s="7"/>
    </row>
    <row r="43" spans="1:13" ht="21.75" customHeight="1" x14ac:dyDescent="0.3">
      <c r="A43" s="8">
        <v>8</v>
      </c>
      <c r="B43" s="8"/>
      <c r="C43" s="8"/>
      <c r="D43" s="8"/>
      <c r="E43" s="8"/>
      <c r="F43" s="8"/>
      <c r="G43" s="8"/>
      <c r="H43" s="33"/>
      <c r="I43" s="33"/>
      <c r="J43" s="33"/>
      <c r="K43" s="8"/>
      <c r="L43" s="8"/>
      <c r="M43" s="8"/>
    </row>
    <row r="44" spans="1:13" ht="21.75" customHeight="1" x14ac:dyDescent="0.3">
      <c r="A44" s="7">
        <v>9</v>
      </c>
      <c r="B44" s="7"/>
      <c r="C44" s="7"/>
      <c r="D44" s="7"/>
      <c r="E44" s="7"/>
      <c r="F44" s="7"/>
      <c r="G44" s="7"/>
      <c r="H44" s="32"/>
      <c r="I44" s="32"/>
      <c r="J44" s="32"/>
      <c r="K44" s="7"/>
      <c r="L44" s="7"/>
      <c r="M44" s="7"/>
    </row>
    <row r="45" spans="1:13" ht="21.75" customHeight="1" x14ac:dyDescent="0.3">
      <c r="A45" s="8">
        <v>10</v>
      </c>
      <c r="B45" s="8"/>
      <c r="C45" s="8"/>
      <c r="D45" s="8"/>
      <c r="E45" s="8"/>
      <c r="F45" s="8"/>
      <c r="G45" s="8"/>
      <c r="H45" s="33"/>
      <c r="I45" s="33"/>
      <c r="J45" s="33"/>
      <c r="K45" s="8"/>
      <c r="L45" s="8"/>
      <c r="M45" s="8"/>
    </row>
    <row r="46" spans="1:13" ht="21.75" customHeight="1" x14ac:dyDescent="0.3">
      <c r="A46" s="7">
        <v>11</v>
      </c>
      <c r="B46" s="7"/>
      <c r="C46" s="7"/>
      <c r="D46" s="7"/>
      <c r="E46" s="7"/>
      <c r="F46" s="7"/>
      <c r="G46" s="7"/>
      <c r="H46" s="32"/>
      <c r="I46" s="32"/>
      <c r="J46" s="32"/>
      <c r="K46" s="7"/>
      <c r="L46" s="7"/>
      <c r="M46" s="7"/>
    </row>
    <row r="47" spans="1:13" ht="21.75" customHeight="1" x14ac:dyDescent="0.3">
      <c r="A47" s="8">
        <v>12</v>
      </c>
      <c r="B47" s="8"/>
      <c r="C47" s="8"/>
      <c r="D47" s="8"/>
      <c r="E47" s="8"/>
      <c r="F47" s="8"/>
      <c r="G47" s="8"/>
      <c r="H47" s="33"/>
      <c r="I47" s="33"/>
      <c r="J47" s="33"/>
      <c r="K47" s="8"/>
      <c r="L47" s="8"/>
      <c r="M47" s="8"/>
    </row>
    <row r="48" spans="1:13" ht="21.75" customHeight="1" x14ac:dyDescent="0.3">
      <c r="A48" s="7">
        <v>13</v>
      </c>
      <c r="B48" s="7"/>
      <c r="C48" s="7"/>
      <c r="D48" s="7"/>
      <c r="E48" s="7"/>
      <c r="F48" s="7"/>
      <c r="G48" s="7"/>
      <c r="H48" s="32"/>
      <c r="I48" s="32"/>
      <c r="J48" s="32"/>
      <c r="K48" s="7"/>
      <c r="L48" s="7"/>
      <c r="M48" s="7"/>
    </row>
    <row r="49" spans="1:13" ht="21.75" customHeight="1" x14ac:dyDescent="0.3">
      <c r="A49" s="8">
        <v>14</v>
      </c>
      <c r="B49" s="8"/>
      <c r="C49" s="8"/>
      <c r="D49" s="8"/>
      <c r="E49" s="8"/>
      <c r="F49" s="8"/>
      <c r="G49" s="8"/>
      <c r="H49" s="33"/>
      <c r="I49" s="33"/>
      <c r="J49" s="33"/>
      <c r="K49" s="8"/>
      <c r="L49" s="8"/>
      <c r="M49" s="8"/>
    </row>
    <row r="50" spans="1:13" ht="21.75" customHeight="1" x14ac:dyDescent="0.3">
      <c r="A50" s="7">
        <v>15</v>
      </c>
      <c r="B50" s="7"/>
      <c r="C50" s="7"/>
      <c r="D50" s="7"/>
      <c r="E50" s="7"/>
      <c r="F50" s="7"/>
      <c r="G50" s="7"/>
      <c r="H50" s="32"/>
      <c r="I50" s="32"/>
      <c r="J50" s="32"/>
      <c r="K50" s="7"/>
      <c r="L50" s="7"/>
      <c r="M50" s="7"/>
    </row>
    <row r="51" spans="1:13" ht="21.75" customHeight="1" x14ac:dyDescent="0.3">
      <c r="A51" s="8">
        <v>16</v>
      </c>
      <c r="B51" s="8"/>
      <c r="C51" s="8"/>
      <c r="D51" s="8"/>
      <c r="E51" s="8"/>
      <c r="F51" s="8"/>
      <c r="G51" s="8"/>
      <c r="H51" s="33"/>
      <c r="I51" s="33"/>
      <c r="J51" s="33"/>
      <c r="K51" s="8"/>
      <c r="L51" s="8"/>
      <c r="M51" s="8"/>
    </row>
    <row r="52" spans="1:13" ht="21.75" customHeight="1" x14ac:dyDescent="0.3">
      <c r="A52" s="7">
        <v>17</v>
      </c>
      <c r="B52" s="7"/>
      <c r="C52" s="7"/>
      <c r="D52" s="7"/>
      <c r="E52" s="7"/>
      <c r="F52" s="7"/>
      <c r="G52" s="7"/>
      <c r="H52" s="32"/>
      <c r="I52" s="32"/>
      <c r="J52" s="32"/>
      <c r="K52" s="7"/>
      <c r="L52" s="7"/>
      <c r="M52" s="7"/>
    </row>
    <row r="53" spans="1:13" ht="21.75" customHeight="1" x14ac:dyDescent="0.3">
      <c r="A53" s="8">
        <v>18</v>
      </c>
      <c r="B53" s="8"/>
      <c r="C53" s="8"/>
      <c r="D53" s="8"/>
      <c r="E53" s="8"/>
      <c r="F53" s="8"/>
      <c r="G53" s="8"/>
      <c r="H53" s="33"/>
      <c r="I53" s="33"/>
      <c r="J53" s="33"/>
      <c r="K53" s="8"/>
      <c r="L53" s="8"/>
      <c r="M53" s="8"/>
    </row>
    <row r="54" spans="1:13" ht="21.75" customHeight="1" x14ac:dyDescent="0.3">
      <c r="A54" s="7">
        <v>19</v>
      </c>
      <c r="B54" s="7"/>
      <c r="C54" s="7"/>
      <c r="D54" s="7"/>
      <c r="E54" s="7"/>
      <c r="F54" s="7"/>
      <c r="G54" s="7"/>
      <c r="H54" s="32"/>
      <c r="I54" s="32"/>
      <c r="J54" s="32"/>
      <c r="K54" s="7"/>
      <c r="L54" s="7"/>
      <c r="M54" s="7"/>
    </row>
    <row r="55" spans="1:13" ht="21.75" customHeight="1" x14ac:dyDescent="0.3">
      <c r="A55" s="8">
        <v>20</v>
      </c>
      <c r="B55" s="8"/>
      <c r="C55" s="8"/>
      <c r="D55" s="8"/>
      <c r="E55" s="8"/>
      <c r="F55" s="8"/>
      <c r="G55" s="8"/>
      <c r="H55" s="33"/>
      <c r="I55" s="33"/>
      <c r="J55" s="33"/>
      <c r="K55" s="8"/>
      <c r="L55" s="8"/>
      <c r="M55" s="8"/>
    </row>
    <row r="56" spans="1:13" ht="21.75" customHeight="1" x14ac:dyDescent="0.3">
      <c r="A56" s="7">
        <v>21</v>
      </c>
      <c r="B56" s="7"/>
      <c r="C56" s="7"/>
      <c r="D56" s="7"/>
      <c r="E56" s="7"/>
      <c r="F56" s="7"/>
      <c r="G56" s="7"/>
      <c r="H56" s="32"/>
      <c r="I56" s="32"/>
      <c r="J56" s="32"/>
      <c r="K56" s="7"/>
      <c r="L56" s="7"/>
      <c r="M56" s="7"/>
    </row>
    <row r="57" spans="1:13" ht="21.75" customHeight="1" x14ac:dyDescent="0.3">
      <c r="A57" s="8">
        <v>22</v>
      </c>
      <c r="B57" s="8"/>
      <c r="C57" s="8"/>
      <c r="D57" s="8"/>
      <c r="E57" s="8"/>
      <c r="F57" s="8"/>
      <c r="G57" s="8"/>
      <c r="H57" s="33"/>
      <c r="I57" s="33"/>
      <c r="J57" s="33"/>
      <c r="K57" s="8"/>
      <c r="L57" s="8"/>
      <c r="M57" s="8"/>
    </row>
    <row r="58" spans="1:13" ht="21.75" customHeight="1" x14ac:dyDescent="0.3">
      <c r="A58" s="7">
        <v>23</v>
      </c>
      <c r="B58" s="7"/>
      <c r="C58" s="7"/>
      <c r="D58" s="7"/>
      <c r="E58" s="7"/>
      <c r="F58" s="7"/>
      <c r="G58" s="7"/>
      <c r="H58" s="32"/>
      <c r="I58" s="32"/>
      <c r="J58" s="32"/>
      <c r="K58" s="7"/>
      <c r="L58" s="7"/>
      <c r="M58" s="7"/>
    </row>
    <row r="59" spans="1:13" ht="21.75" customHeight="1" x14ac:dyDescent="0.3">
      <c r="A59" s="8">
        <v>24</v>
      </c>
      <c r="B59" s="8"/>
      <c r="C59" s="8"/>
      <c r="D59" s="8"/>
      <c r="E59" s="8"/>
      <c r="F59" s="8"/>
      <c r="G59" s="8"/>
      <c r="H59" s="33"/>
      <c r="I59" s="33"/>
      <c r="J59" s="33"/>
      <c r="K59" s="8"/>
      <c r="L59" s="8"/>
      <c r="M59" s="8"/>
    </row>
    <row r="60" spans="1:13" ht="21.75" customHeight="1" x14ac:dyDescent="0.3">
      <c r="A60" s="7">
        <v>25</v>
      </c>
      <c r="B60" s="7"/>
      <c r="C60" s="7"/>
      <c r="D60" s="7"/>
      <c r="E60" s="7"/>
      <c r="F60" s="7"/>
      <c r="G60" s="7"/>
      <c r="H60" s="32"/>
      <c r="I60" s="32"/>
      <c r="J60" s="32"/>
      <c r="K60" s="7"/>
      <c r="L60" s="7"/>
      <c r="M60" s="7"/>
    </row>
    <row r="61" spans="1:13" ht="21.75" customHeight="1" x14ac:dyDescent="0.3">
      <c r="A61" s="8">
        <v>26</v>
      </c>
      <c r="B61" s="8"/>
      <c r="C61" s="8"/>
      <c r="D61" s="8"/>
      <c r="E61" s="8"/>
      <c r="F61" s="8"/>
      <c r="G61" s="8"/>
      <c r="H61" s="33"/>
      <c r="I61" s="33"/>
      <c r="J61" s="33"/>
      <c r="K61" s="8"/>
      <c r="L61" s="8"/>
      <c r="M61" s="8"/>
    </row>
    <row r="62" spans="1:13" ht="21.75" customHeight="1" x14ac:dyDescent="0.3">
      <c r="A62" s="7">
        <v>27</v>
      </c>
      <c r="B62" s="7"/>
      <c r="C62" s="7"/>
      <c r="D62" s="7"/>
      <c r="E62" s="7"/>
      <c r="F62" s="7"/>
      <c r="G62" s="7"/>
      <c r="H62" s="32"/>
      <c r="I62" s="32"/>
      <c r="J62" s="32"/>
      <c r="K62" s="7"/>
      <c r="L62" s="7"/>
      <c r="M62" s="7"/>
    </row>
    <row r="63" spans="1:13" ht="21.75" customHeight="1" x14ac:dyDescent="0.3">
      <c r="A63" s="8">
        <v>28</v>
      </c>
      <c r="B63" s="8"/>
      <c r="C63" s="8"/>
      <c r="D63" s="8"/>
      <c r="E63" s="8"/>
      <c r="F63" s="8"/>
      <c r="G63" s="8"/>
      <c r="H63" s="33"/>
      <c r="I63" s="33"/>
      <c r="J63" s="33"/>
      <c r="K63" s="8"/>
      <c r="L63" s="8"/>
      <c r="M63" s="8"/>
    </row>
    <row r="64" spans="1:13" ht="21.75" customHeight="1" x14ac:dyDescent="0.3">
      <c r="A64" s="7">
        <v>29</v>
      </c>
      <c r="B64" s="7"/>
      <c r="C64" s="7"/>
      <c r="D64" s="7"/>
      <c r="E64" s="7"/>
      <c r="F64" s="7"/>
      <c r="G64" s="7"/>
      <c r="H64" s="32"/>
      <c r="I64" s="32"/>
      <c r="J64" s="32"/>
      <c r="K64" s="7"/>
      <c r="L64" s="7"/>
      <c r="M64" s="7"/>
    </row>
    <row r="65" spans="1:13" ht="21.75" customHeight="1" x14ac:dyDescent="0.3">
      <c r="A65" s="8">
        <v>30</v>
      </c>
      <c r="B65" s="8"/>
      <c r="C65" s="8"/>
      <c r="D65" s="8"/>
      <c r="E65" s="8"/>
      <c r="F65" s="8"/>
      <c r="G65" s="8"/>
      <c r="H65" s="33"/>
      <c r="I65" s="33"/>
      <c r="J65" s="33"/>
      <c r="K65" s="8"/>
      <c r="L65" s="8"/>
      <c r="M65" s="8"/>
    </row>
    <row r="66" spans="1:13" ht="21.75" customHeight="1" x14ac:dyDescent="0.3">
      <c r="A66" s="7">
        <v>31</v>
      </c>
      <c r="B66" s="7"/>
      <c r="C66" s="7"/>
      <c r="D66" s="7"/>
      <c r="E66" s="7"/>
      <c r="F66" s="7"/>
      <c r="G66" s="7"/>
      <c r="H66" s="32"/>
      <c r="I66" s="32"/>
      <c r="J66" s="32"/>
      <c r="K66" s="7"/>
      <c r="L66" s="7"/>
      <c r="M66" s="7"/>
    </row>
    <row r="67" spans="1:13" ht="21.75" customHeight="1" x14ac:dyDescent="0.3">
      <c r="A67" s="8">
        <v>32</v>
      </c>
      <c r="B67" s="8"/>
      <c r="C67" s="8"/>
      <c r="D67" s="8"/>
      <c r="E67" s="8"/>
      <c r="F67" s="8"/>
      <c r="G67" s="8"/>
      <c r="H67" s="33"/>
      <c r="I67" s="33"/>
      <c r="J67" s="33"/>
      <c r="K67" s="8"/>
      <c r="L67" s="8"/>
      <c r="M67" s="8"/>
    </row>
    <row r="68" spans="1:13" ht="21.75" customHeight="1" x14ac:dyDescent="0.3">
      <c r="A68" s="7">
        <v>33</v>
      </c>
      <c r="B68" s="7"/>
      <c r="C68" s="7"/>
      <c r="D68" s="7"/>
      <c r="E68" s="7"/>
      <c r="F68" s="7"/>
      <c r="G68" s="7"/>
      <c r="H68" s="32"/>
      <c r="I68" s="32"/>
      <c r="J68" s="32"/>
      <c r="K68" s="7"/>
      <c r="L68" s="7"/>
      <c r="M68" s="7"/>
    </row>
    <row r="69" spans="1:13" ht="21.75" customHeight="1" x14ac:dyDescent="0.3">
      <c r="A69" s="8">
        <v>34</v>
      </c>
      <c r="B69" s="8"/>
      <c r="C69" s="8"/>
      <c r="D69" s="8"/>
      <c r="E69" s="8"/>
      <c r="F69" s="8"/>
      <c r="G69" s="8"/>
      <c r="H69" s="33"/>
      <c r="I69" s="33"/>
      <c r="J69" s="33"/>
      <c r="K69" s="8"/>
      <c r="L69" s="8"/>
      <c r="M69" s="8"/>
    </row>
    <row r="70" spans="1:13" ht="21.75" customHeight="1" x14ac:dyDescent="0.3">
      <c r="A70" s="7">
        <v>35</v>
      </c>
      <c r="B70" s="7"/>
      <c r="C70" s="7"/>
      <c r="D70" s="7"/>
      <c r="E70" s="7"/>
      <c r="F70" s="7"/>
      <c r="G70" s="7"/>
      <c r="H70" s="32"/>
      <c r="I70" s="32"/>
      <c r="J70" s="32"/>
      <c r="K70" s="7"/>
      <c r="L70" s="7"/>
      <c r="M70" s="7"/>
    </row>
    <row r="71" spans="1:13" ht="21.75" customHeight="1" x14ac:dyDescent="0.3">
      <c r="A71" s="8">
        <v>36</v>
      </c>
      <c r="B71" s="8"/>
      <c r="C71" s="8"/>
      <c r="D71" s="8"/>
      <c r="E71" s="8"/>
      <c r="F71" s="8"/>
      <c r="G71" s="8"/>
      <c r="H71" s="33"/>
      <c r="I71" s="33"/>
      <c r="J71" s="33"/>
      <c r="K71" s="8"/>
      <c r="L71" s="8"/>
      <c r="M71" s="8"/>
    </row>
    <row r="72" spans="1:13" ht="21.75" customHeight="1" x14ac:dyDescent="0.3">
      <c r="A72" s="7">
        <v>37</v>
      </c>
      <c r="B72" s="7"/>
      <c r="C72" s="7"/>
      <c r="D72" s="7"/>
      <c r="E72" s="7"/>
      <c r="F72" s="7"/>
      <c r="G72" s="7"/>
      <c r="H72" s="32"/>
      <c r="I72" s="32"/>
      <c r="J72" s="32"/>
      <c r="K72" s="7"/>
      <c r="L72" s="7"/>
      <c r="M72" s="7"/>
    </row>
    <row r="73" spans="1:13" ht="21.75" customHeight="1" x14ac:dyDescent="0.3">
      <c r="A73" s="8">
        <v>38</v>
      </c>
      <c r="B73" s="8"/>
      <c r="C73" s="8"/>
      <c r="D73" s="8"/>
      <c r="E73" s="8"/>
      <c r="F73" s="8"/>
      <c r="G73" s="8"/>
      <c r="H73" s="33"/>
      <c r="I73" s="33"/>
      <c r="J73" s="33"/>
      <c r="K73" s="8"/>
      <c r="L73" s="8"/>
      <c r="M73" s="8"/>
    </row>
    <row r="74" spans="1:13" ht="21.75" customHeight="1" x14ac:dyDescent="0.3">
      <c r="A74" s="7">
        <v>39</v>
      </c>
      <c r="B74" s="7"/>
      <c r="C74" s="7"/>
      <c r="D74" s="7"/>
      <c r="E74" s="7"/>
      <c r="F74" s="7"/>
      <c r="G74" s="7"/>
      <c r="H74" s="32"/>
      <c r="I74" s="32"/>
      <c r="J74" s="32"/>
      <c r="K74" s="7"/>
      <c r="L74" s="7"/>
      <c r="M74" s="7"/>
    </row>
    <row r="75" spans="1:13" ht="21.75" customHeight="1" x14ac:dyDescent="0.3">
      <c r="A75" s="8">
        <v>40</v>
      </c>
      <c r="B75" s="8"/>
      <c r="C75" s="8"/>
      <c r="D75" s="8"/>
      <c r="E75" s="8"/>
      <c r="F75" s="8"/>
      <c r="G75" s="8"/>
      <c r="H75" s="33"/>
      <c r="I75" s="33"/>
      <c r="J75" s="33"/>
      <c r="K75" s="8"/>
      <c r="L75" s="8"/>
      <c r="M75" s="8"/>
    </row>
    <row r="76" spans="1:13" ht="15" customHeight="1" x14ac:dyDescent="0.3">
      <c r="A76" s="50" t="str">
        <f>COUNTA(B36:B75)&amp;" tasks logged  |  "&amp;COUNTIF(K36:K75,"Completed")&amp;" Completed  |  "&amp;(COUNTIF(K36:K75,"Pending")+COUNTIF(K36:K75,"Carry Forward"))&amp;" Pending"</f>
        <v>0 tasks logged  |  0 Completed  |  0 Pending</v>
      </c>
      <c r="B76" s="50"/>
      <c r="C76" s="50"/>
      <c r="D76" s="50"/>
      <c r="E76" s="50"/>
      <c r="F76" s="50"/>
      <c r="G76" s="9">
        <f>SUM(G36:G75)</f>
        <v>0</v>
      </c>
      <c r="H76" s="10"/>
      <c r="I76" s="10"/>
      <c r="J76" s="10"/>
      <c r="K76" s="10"/>
      <c r="L76" s="10"/>
      <c r="M76" s="10"/>
    </row>
    <row r="78" spans="1:13" ht="15" customHeight="1" x14ac:dyDescent="0.3">
      <c r="A78" s="16" t="s">
        <v>166</v>
      </c>
      <c r="B78" s="16"/>
      <c r="C78" s="16"/>
      <c r="D78" s="16"/>
      <c r="E78" s="16"/>
      <c r="F78" s="16"/>
      <c r="G78" s="16"/>
      <c r="H78" s="16"/>
      <c r="I78" s="16"/>
      <c r="J78" s="16"/>
      <c r="K78" s="16"/>
      <c r="L78" s="16"/>
      <c r="M78" s="16"/>
    </row>
    <row r="79" spans="1:13" ht="32.25" customHeight="1" x14ac:dyDescent="0.3">
      <c r="A79" s="6" t="s">
        <v>167</v>
      </c>
      <c r="B79" s="31" t="s">
        <v>168</v>
      </c>
      <c r="C79" s="31"/>
      <c r="D79" s="31" t="s">
        <v>169</v>
      </c>
      <c r="E79" s="31"/>
      <c r="F79" s="31" t="s">
        <v>170</v>
      </c>
      <c r="G79" s="31"/>
      <c r="H79" s="31" t="s">
        <v>171</v>
      </c>
      <c r="I79" s="31"/>
      <c r="J79" s="31" t="s">
        <v>172</v>
      </c>
      <c r="K79" s="31"/>
      <c r="L79" s="6" t="s">
        <v>111</v>
      </c>
      <c r="M79" s="6" t="s">
        <v>126</v>
      </c>
    </row>
    <row r="80" spans="1:13" ht="19.5" customHeight="1" x14ac:dyDescent="0.3">
      <c r="A80" s="7"/>
      <c r="B80" s="34"/>
      <c r="C80" s="34"/>
      <c r="D80" s="34"/>
      <c r="E80" s="34"/>
      <c r="F80" s="34"/>
      <c r="G80" s="34"/>
      <c r="H80" s="34"/>
      <c r="I80" s="34"/>
      <c r="J80" s="34"/>
      <c r="K80" s="34"/>
      <c r="L80" s="7"/>
      <c r="M80" s="7"/>
    </row>
    <row r="81" spans="1:13" ht="19.5" customHeight="1" x14ac:dyDescent="0.3">
      <c r="A81" s="8"/>
      <c r="B81" s="36"/>
      <c r="C81" s="36"/>
      <c r="D81" s="36"/>
      <c r="E81" s="36"/>
      <c r="F81" s="36"/>
      <c r="G81" s="36"/>
      <c r="H81" s="36"/>
      <c r="I81" s="36"/>
      <c r="J81" s="36"/>
      <c r="K81" s="36"/>
      <c r="L81" s="8"/>
      <c r="M81" s="8"/>
    </row>
    <row r="82" spans="1:13" ht="19.5" customHeight="1" x14ac:dyDescent="0.3">
      <c r="A82" s="7"/>
      <c r="B82" s="34"/>
      <c r="C82" s="34"/>
      <c r="D82" s="34"/>
      <c r="E82" s="34"/>
      <c r="F82" s="34"/>
      <c r="G82" s="34"/>
      <c r="H82" s="34"/>
      <c r="I82" s="34"/>
      <c r="J82" s="34"/>
      <c r="K82" s="34"/>
      <c r="L82" s="7"/>
      <c r="M82" s="7"/>
    </row>
    <row r="83" spans="1:13" ht="19.5" customHeight="1" x14ac:dyDescent="0.3">
      <c r="A83" s="8"/>
      <c r="B83" s="36"/>
      <c r="C83" s="36"/>
      <c r="D83" s="36"/>
      <c r="E83" s="36"/>
      <c r="F83" s="36"/>
      <c r="G83" s="36"/>
      <c r="H83" s="36"/>
      <c r="I83" s="36"/>
      <c r="J83" s="36"/>
      <c r="K83" s="36"/>
      <c r="L83" s="8"/>
      <c r="M83" s="8"/>
    </row>
    <row r="84" spans="1:13" ht="19.5" customHeight="1" x14ac:dyDescent="0.3">
      <c r="A84" s="7"/>
      <c r="B84" s="34"/>
      <c r="C84" s="34"/>
      <c r="D84" s="34"/>
      <c r="E84" s="34"/>
      <c r="F84" s="34"/>
      <c r="G84" s="34"/>
      <c r="H84" s="34"/>
      <c r="I84" s="34"/>
      <c r="J84" s="34"/>
      <c r="K84" s="34"/>
      <c r="L84" s="7"/>
      <c r="M84" s="7"/>
    </row>
    <row r="85" spans="1:13" ht="19.5" customHeight="1" x14ac:dyDescent="0.3">
      <c r="A85" s="8"/>
      <c r="B85" s="36"/>
      <c r="C85" s="36"/>
      <c r="D85" s="36"/>
      <c r="E85" s="36"/>
      <c r="F85" s="36"/>
      <c r="G85" s="36"/>
      <c r="H85" s="36"/>
      <c r="I85" s="36"/>
      <c r="J85" s="36"/>
      <c r="K85" s="36"/>
      <c r="L85" s="8"/>
      <c r="M85" s="8"/>
    </row>
    <row r="86" spans="1:13" ht="19.5" customHeight="1" x14ac:dyDescent="0.3">
      <c r="A86" s="7"/>
      <c r="B86" s="34"/>
      <c r="C86" s="34"/>
      <c r="D86" s="34"/>
      <c r="E86" s="34"/>
      <c r="F86" s="34"/>
      <c r="G86" s="34"/>
      <c r="H86" s="34"/>
      <c r="I86" s="34"/>
      <c r="J86" s="34"/>
      <c r="K86" s="34"/>
      <c r="L86" s="7"/>
      <c r="M86" s="7"/>
    </row>
    <row r="87" spans="1:13" ht="19.5" customHeight="1" x14ac:dyDescent="0.3">
      <c r="A87" s="8"/>
      <c r="B87" s="36"/>
      <c r="C87" s="36"/>
      <c r="D87" s="36"/>
      <c r="E87" s="36"/>
      <c r="F87" s="36"/>
      <c r="G87" s="36"/>
      <c r="H87" s="36"/>
      <c r="I87" s="36"/>
      <c r="J87" s="36"/>
      <c r="K87" s="36"/>
      <c r="L87" s="8"/>
      <c r="M87" s="8"/>
    </row>
    <row r="88" spans="1:13" ht="19.5" customHeight="1" x14ac:dyDescent="0.3">
      <c r="A88" s="7"/>
      <c r="B88" s="34"/>
      <c r="C88" s="34"/>
      <c r="D88" s="34"/>
      <c r="E88" s="34"/>
      <c r="F88" s="34"/>
      <c r="G88" s="34"/>
      <c r="H88" s="34"/>
      <c r="I88" s="34"/>
      <c r="J88" s="34"/>
      <c r="K88" s="34"/>
      <c r="L88" s="7"/>
      <c r="M88" s="7"/>
    </row>
    <row r="89" spans="1:13" ht="19.5" customHeight="1" x14ac:dyDescent="0.3">
      <c r="A89" s="8"/>
      <c r="B89" s="36"/>
      <c r="C89" s="36"/>
      <c r="D89" s="36"/>
      <c r="E89" s="36"/>
      <c r="F89" s="36"/>
      <c r="G89" s="36"/>
      <c r="H89" s="36"/>
      <c r="I89" s="36"/>
      <c r="J89" s="36"/>
      <c r="K89" s="36"/>
      <c r="L89" s="8"/>
      <c r="M89" s="8"/>
    </row>
    <row r="91" spans="1:13" ht="15" customHeight="1" x14ac:dyDescent="0.3">
      <c r="A91" s="16" t="s">
        <v>184</v>
      </c>
      <c r="B91" s="16"/>
      <c r="C91" s="16"/>
      <c r="D91" s="16"/>
      <c r="E91" s="16"/>
      <c r="F91" s="16"/>
      <c r="G91" s="16"/>
      <c r="H91" s="16"/>
      <c r="I91" s="16"/>
      <c r="J91" s="16"/>
      <c r="K91" s="16"/>
      <c r="L91" s="16"/>
      <c r="M91" s="16"/>
    </row>
    <row r="92" spans="1:13" ht="15" customHeight="1" x14ac:dyDescent="0.3">
      <c r="A92" s="31" t="s">
        <v>108</v>
      </c>
      <c r="B92" s="31"/>
      <c r="C92" s="31" t="s">
        <v>99</v>
      </c>
      <c r="D92" s="31"/>
      <c r="E92" s="31" t="s">
        <v>109</v>
      </c>
      <c r="F92" s="31"/>
      <c r="G92" s="31" t="s">
        <v>110</v>
      </c>
      <c r="H92" s="31"/>
      <c r="I92" s="31"/>
      <c r="J92" s="31"/>
      <c r="K92" s="31"/>
      <c r="L92" s="31" t="s">
        <v>111</v>
      </c>
      <c r="M92" s="31"/>
    </row>
    <row r="93" spans="1:13" ht="21.75" customHeight="1" x14ac:dyDescent="0.3">
      <c r="A93" s="34"/>
      <c r="B93" s="34"/>
      <c r="C93" s="34"/>
      <c r="D93" s="34"/>
      <c r="E93" s="34"/>
      <c r="F93" s="34"/>
      <c r="G93" s="32"/>
      <c r="H93" s="32"/>
      <c r="I93" s="32"/>
      <c r="J93" s="32"/>
      <c r="K93" s="32"/>
      <c r="L93" s="34"/>
      <c r="M93" s="34"/>
    </row>
    <row r="94" spans="1:13" ht="21.75" customHeight="1" x14ac:dyDescent="0.3">
      <c r="A94" s="36"/>
      <c r="B94" s="36"/>
      <c r="C94" s="36"/>
      <c r="D94" s="36"/>
      <c r="E94" s="36"/>
      <c r="F94" s="36"/>
      <c r="G94" s="33"/>
      <c r="H94" s="33"/>
      <c r="I94" s="33"/>
      <c r="J94" s="33"/>
      <c r="K94" s="33"/>
      <c r="L94" s="36"/>
      <c r="M94" s="36"/>
    </row>
    <row r="95" spans="1:13" ht="21.75" customHeight="1" x14ac:dyDescent="0.3">
      <c r="A95" s="34"/>
      <c r="B95" s="34"/>
      <c r="C95" s="34"/>
      <c r="D95" s="34"/>
      <c r="E95" s="34"/>
      <c r="F95" s="34"/>
      <c r="G95" s="32"/>
      <c r="H95" s="32"/>
      <c r="I95" s="32"/>
      <c r="J95" s="32"/>
      <c r="K95" s="32"/>
      <c r="L95" s="34"/>
      <c r="M95" s="34"/>
    </row>
    <row r="96" spans="1:13" ht="21.75" customHeight="1" x14ac:dyDescent="0.3">
      <c r="A96" s="36"/>
      <c r="B96" s="36"/>
      <c r="C96" s="36"/>
      <c r="D96" s="36"/>
      <c r="E96" s="36"/>
      <c r="F96" s="36"/>
      <c r="G96" s="33"/>
      <c r="H96" s="33"/>
      <c r="I96" s="33"/>
      <c r="J96" s="33"/>
      <c r="K96" s="33"/>
      <c r="L96" s="36"/>
      <c r="M96" s="36"/>
    </row>
    <row r="97" spans="1:13" ht="21.75" customHeight="1" x14ac:dyDescent="0.3">
      <c r="A97" s="34"/>
      <c r="B97" s="34"/>
      <c r="C97" s="34"/>
      <c r="D97" s="34"/>
      <c r="E97" s="34"/>
      <c r="F97" s="34"/>
      <c r="G97" s="32"/>
      <c r="H97" s="32"/>
      <c r="I97" s="32"/>
      <c r="J97" s="32"/>
      <c r="K97" s="32"/>
      <c r="L97" s="34"/>
      <c r="M97" s="34"/>
    </row>
    <row r="98" spans="1:13" ht="21.75" customHeight="1" x14ac:dyDescent="0.3">
      <c r="A98" s="36"/>
      <c r="B98" s="36"/>
      <c r="C98" s="36"/>
      <c r="D98" s="36"/>
      <c r="E98" s="36"/>
      <c r="F98" s="36"/>
      <c r="G98" s="33"/>
      <c r="H98" s="33"/>
      <c r="I98" s="33"/>
      <c r="J98" s="33"/>
      <c r="K98" s="33"/>
      <c r="L98" s="36"/>
      <c r="M98" s="36"/>
    </row>
    <row r="99" spans="1:13" ht="21.75" customHeight="1" x14ac:dyDescent="0.3">
      <c r="A99" s="34"/>
      <c r="B99" s="34"/>
      <c r="C99" s="34"/>
      <c r="D99" s="34"/>
      <c r="E99" s="34"/>
      <c r="F99" s="34"/>
      <c r="G99" s="32"/>
      <c r="H99" s="32"/>
      <c r="I99" s="32"/>
      <c r="J99" s="32"/>
      <c r="K99" s="32"/>
      <c r="L99" s="34"/>
      <c r="M99" s="34"/>
    </row>
    <row r="100" spans="1:13" ht="21.75" customHeight="1" x14ac:dyDescent="0.3">
      <c r="A100" s="36"/>
      <c r="B100" s="36"/>
      <c r="C100" s="36"/>
      <c r="D100" s="36"/>
      <c r="E100" s="36"/>
      <c r="F100" s="36"/>
      <c r="G100" s="33"/>
      <c r="H100" s="33"/>
      <c r="I100" s="33"/>
      <c r="J100" s="33"/>
      <c r="K100" s="33"/>
      <c r="L100" s="36"/>
      <c r="M100" s="36"/>
    </row>
    <row r="101" spans="1:13" ht="21.75" customHeight="1" x14ac:dyDescent="0.3">
      <c r="A101" s="34"/>
      <c r="B101" s="34"/>
      <c r="C101" s="34"/>
      <c r="D101" s="34"/>
      <c r="E101" s="34"/>
      <c r="F101" s="34"/>
      <c r="G101" s="32"/>
      <c r="H101" s="32"/>
      <c r="I101" s="32"/>
      <c r="J101" s="32"/>
      <c r="K101" s="32"/>
      <c r="L101" s="34"/>
      <c r="M101" s="34"/>
    </row>
    <row r="102" spans="1:13" ht="21.75" customHeight="1" x14ac:dyDescent="0.3">
      <c r="A102" s="36"/>
      <c r="B102" s="36"/>
      <c r="C102" s="36"/>
      <c r="D102" s="36"/>
      <c r="E102" s="36"/>
      <c r="F102" s="36"/>
      <c r="G102" s="33"/>
      <c r="H102" s="33"/>
      <c r="I102" s="33"/>
      <c r="J102" s="33"/>
      <c r="K102" s="33"/>
      <c r="L102" s="36"/>
      <c r="M102" s="36"/>
    </row>
    <row r="104" spans="1:13" ht="15" customHeight="1" x14ac:dyDescent="0.3">
      <c r="A104" s="16" t="s">
        <v>120</v>
      </c>
      <c r="B104" s="16"/>
      <c r="C104" s="16"/>
      <c r="D104" s="16"/>
      <c r="E104" s="16"/>
      <c r="F104" s="16"/>
      <c r="G104" s="16"/>
      <c r="H104" s="16"/>
      <c r="I104" s="16"/>
      <c r="J104" s="16"/>
      <c r="K104" s="16"/>
      <c r="L104" s="16"/>
      <c r="M104" s="16"/>
    </row>
    <row r="105" spans="1:13" ht="15" customHeight="1" x14ac:dyDescent="0.3">
      <c r="A105" s="31" t="s">
        <v>121</v>
      </c>
      <c r="B105" s="31"/>
      <c r="C105" s="31"/>
      <c r="D105" s="31"/>
      <c r="E105" s="31" t="s">
        <v>122</v>
      </c>
      <c r="F105" s="31"/>
      <c r="G105" s="31" t="s">
        <v>123</v>
      </c>
      <c r="H105" s="31"/>
      <c r="I105" s="31" t="s">
        <v>124</v>
      </c>
      <c r="J105" s="31"/>
      <c r="K105" s="6" t="s">
        <v>125</v>
      </c>
      <c r="L105" s="6" t="s">
        <v>111</v>
      </c>
      <c r="M105" s="6" t="s">
        <v>126</v>
      </c>
    </row>
    <row r="106" spans="1:13" ht="19.5" customHeight="1" x14ac:dyDescent="0.3">
      <c r="A106" s="38" t="s">
        <v>127</v>
      </c>
      <c r="B106" s="38"/>
      <c r="C106" s="38"/>
      <c r="D106" s="38"/>
      <c r="E106" s="39" t="s">
        <v>128</v>
      </c>
      <c r="F106" s="39"/>
      <c r="G106" s="40"/>
      <c r="H106" s="40"/>
      <c r="I106" s="40"/>
      <c r="J106" s="40"/>
      <c r="K106" s="11"/>
      <c r="L106" s="11"/>
      <c r="M106" s="12"/>
    </row>
    <row r="107" spans="1:13" ht="19.5" customHeight="1" x14ac:dyDescent="0.3">
      <c r="A107" s="41" t="s">
        <v>129</v>
      </c>
      <c r="B107" s="41"/>
      <c r="C107" s="41"/>
      <c r="D107" s="41"/>
      <c r="E107" s="40" t="s">
        <v>130</v>
      </c>
      <c r="F107" s="40"/>
      <c r="G107" s="40"/>
      <c r="H107" s="40"/>
      <c r="I107" s="40"/>
      <c r="J107" s="40"/>
      <c r="K107" s="11"/>
      <c r="L107" s="11"/>
      <c r="M107" s="12"/>
    </row>
    <row r="108" spans="1:13" ht="19.5" customHeight="1" x14ac:dyDescent="0.3">
      <c r="A108" s="38" t="s">
        <v>131</v>
      </c>
      <c r="B108" s="38"/>
      <c r="C108" s="38"/>
      <c r="D108" s="38"/>
      <c r="E108" s="39" t="s">
        <v>130</v>
      </c>
      <c r="F108" s="39"/>
      <c r="G108" s="40"/>
      <c r="H108" s="40"/>
      <c r="I108" s="40"/>
      <c r="J108" s="40"/>
      <c r="K108" s="11"/>
      <c r="L108" s="11"/>
      <c r="M108" s="12"/>
    </row>
    <row r="109" spans="1:13" ht="19.5" customHeight="1" x14ac:dyDescent="0.3">
      <c r="A109" s="41" t="s">
        <v>132</v>
      </c>
      <c r="B109" s="41"/>
      <c r="C109" s="41"/>
      <c r="D109" s="41"/>
      <c r="E109" s="40" t="s">
        <v>130</v>
      </c>
      <c r="F109" s="40"/>
      <c r="G109" s="40"/>
      <c r="H109" s="40"/>
      <c r="I109" s="40"/>
      <c r="J109" s="40"/>
      <c r="K109" s="11"/>
      <c r="L109" s="11"/>
      <c r="M109" s="12"/>
    </row>
    <row r="110" spans="1:13" ht="19.5" customHeight="1" x14ac:dyDescent="0.3">
      <c r="A110" s="38" t="s">
        <v>133</v>
      </c>
      <c r="B110" s="38"/>
      <c r="C110" s="38"/>
      <c r="D110" s="38"/>
      <c r="E110" s="39" t="s">
        <v>130</v>
      </c>
      <c r="F110" s="39"/>
      <c r="G110" s="40"/>
      <c r="H110" s="40"/>
      <c r="I110" s="40"/>
      <c r="J110" s="40"/>
      <c r="K110" s="11"/>
      <c r="L110" s="11"/>
      <c r="M110" s="12"/>
    </row>
    <row r="111" spans="1:13" ht="19.5" customHeight="1" x14ac:dyDescent="0.3">
      <c r="A111" s="41" t="s">
        <v>134</v>
      </c>
      <c r="B111" s="41"/>
      <c r="C111" s="41"/>
      <c r="D111" s="41"/>
      <c r="E111" s="40" t="s">
        <v>135</v>
      </c>
      <c r="F111" s="40"/>
      <c r="G111" s="40"/>
      <c r="H111" s="40"/>
      <c r="I111" s="40"/>
      <c r="J111" s="40"/>
      <c r="K111" s="11"/>
      <c r="L111" s="11"/>
      <c r="M111" s="12"/>
    </row>
    <row r="113" spans="1:13" ht="15" customHeight="1" x14ac:dyDescent="0.3">
      <c r="A113" s="16" t="s">
        <v>136</v>
      </c>
      <c r="B113" s="16"/>
      <c r="C113" s="16"/>
      <c r="D113" s="16"/>
      <c r="E113" s="16"/>
      <c r="F113" s="16"/>
      <c r="G113" s="16"/>
      <c r="H113" s="16"/>
      <c r="I113" s="16"/>
      <c r="J113" s="16"/>
      <c r="K113" s="16"/>
      <c r="L113" s="16"/>
      <c r="M113" s="16"/>
    </row>
    <row r="114" spans="1:13" ht="21.75" customHeight="1" x14ac:dyDescent="0.3">
      <c r="A114" s="6" t="s">
        <v>98</v>
      </c>
      <c r="B114" s="31" t="s">
        <v>137</v>
      </c>
      <c r="C114" s="31"/>
      <c r="D114" s="31"/>
      <c r="E114" s="31" t="s">
        <v>138</v>
      </c>
      <c r="F114" s="31"/>
      <c r="G114" s="31"/>
      <c r="H114" s="31" t="s">
        <v>139</v>
      </c>
      <c r="I114" s="31"/>
      <c r="J114" s="6" t="s">
        <v>140</v>
      </c>
      <c r="K114" s="6" t="s">
        <v>111</v>
      </c>
      <c r="L114" s="31" t="s">
        <v>141</v>
      </c>
      <c r="M114" s="31"/>
    </row>
    <row r="115" spans="1:13" ht="21.75" customHeight="1" x14ac:dyDescent="0.3">
      <c r="A115" s="7">
        <v>1</v>
      </c>
      <c r="B115" s="34"/>
      <c r="C115" s="34"/>
      <c r="D115" s="34"/>
      <c r="E115" s="34"/>
      <c r="F115" s="34"/>
      <c r="G115" s="34"/>
      <c r="H115" s="32"/>
      <c r="I115" s="32"/>
      <c r="J115" s="7"/>
      <c r="K115" s="7"/>
      <c r="L115" s="32"/>
      <c r="M115" s="32"/>
    </row>
    <row r="116" spans="1:13" ht="21.75" customHeight="1" x14ac:dyDescent="0.3">
      <c r="A116" s="8">
        <v>2</v>
      </c>
      <c r="B116" s="36"/>
      <c r="C116" s="36"/>
      <c r="D116" s="36"/>
      <c r="E116" s="36"/>
      <c r="F116" s="36"/>
      <c r="G116" s="36"/>
      <c r="H116" s="33"/>
      <c r="I116" s="33"/>
      <c r="J116" s="8"/>
      <c r="K116" s="8"/>
      <c r="L116" s="33"/>
      <c r="M116" s="33"/>
    </row>
    <row r="117" spans="1:13" ht="21.75" customHeight="1" x14ac:dyDescent="0.3">
      <c r="A117" s="7">
        <v>3</v>
      </c>
      <c r="B117" s="34"/>
      <c r="C117" s="34"/>
      <c r="D117" s="34"/>
      <c r="E117" s="34"/>
      <c r="F117" s="34"/>
      <c r="G117" s="34"/>
      <c r="H117" s="32"/>
      <c r="I117" s="32"/>
      <c r="J117" s="7"/>
      <c r="K117" s="7"/>
      <c r="L117" s="32"/>
      <c r="M117" s="32"/>
    </row>
    <row r="118" spans="1:13" ht="21.75" customHeight="1" x14ac:dyDescent="0.3">
      <c r="A118" s="8">
        <v>4</v>
      </c>
      <c r="B118" s="36"/>
      <c r="C118" s="36"/>
      <c r="D118" s="36"/>
      <c r="E118" s="36"/>
      <c r="F118" s="36"/>
      <c r="G118" s="36"/>
      <c r="H118" s="33"/>
      <c r="I118" s="33"/>
      <c r="J118" s="8"/>
      <c r="K118" s="8"/>
      <c r="L118" s="33"/>
      <c r="M118" s="33"/>
    </row>
    <row r="119" spans="1:13" ht="21.75" customHeight="1" x14ac:dyDescent="0.3">
      <c r="A119" s="7">
        <v>5</v>
      </c>
      <c r="B119" s="34"/>
      <c r="C119" s="34"/>
      <c r="D119" s="34"/>
      <c r="E119" s="34"/>
      <c r="F119" s="34"/>
      <c r="G119" s="34"/>
      <c r="H119" s="32"/>
      <c r="I119" s="32"/>
      <c r="J119" s="7"/>
      <c r="K119" s="7"/>
      <c r="L119" s="32"/>
      <c r="M119" s="32"/>
    </row>
    <row r="121" spans="1:13" ht="15" customHeight="1" x14ac:dyDescent="0.3">
      <c r="A121" s="16" t="s">
        <v>142</v>
      </c>
      <c r="B121" s="16"/>
      <c r="C121" s="16"/>
      <c r="D121" s="16"/>
      <c r="E121" s="16"/>
      <c r="F121" s="16"/>
      <c r="G121" s="16"/>
      <c r="H121" s="16"/>
      <c r="I121" s="16"/>
      <c r="J121" s="16"/>
      <c r="K121" s="16"/>
      <c r="L121" s="16"/>
      <c r="M121" s="16"/>
    </row>
    <row r="122" spans="1:13" ht="19.5" customHeight="1" x14ac:dyDescent="0.3">
      <c r="A122" s="42" t="s">
        <v>143</v>
      </c>
      <c r="B122" s="42"/>
      <c r="C122" s="42"/>
      <c r="D122" s="42"/>
      <c r="E122" s="43"/>
      <c r="F122" s="43"/>
      <c r="G122" s="43"/>
      <c r="H122" s="43"/>
      <c r="I122" s="43"/>
      <c r="J122" s="43"/>
      <c r="K122" s="43"/>
      <c r="L122" s="43"/>
      <c r="M122" s="43"/>
    </row>
    <row r="123" spans="1:13" ht="19.5" customHeight="1" x14ac:dyDescent="0.3">
      <c r="A123" s="45"/>
      <c r="B123" s="45"/>
      <c r="C123" s="45"/>
      <c r="D123" s="45"/>
      <c r="E123" s="5"/>
    </row>
    <row r="124" spans="1:13" ht="19.5" customHeight="1" x14ac:dyDescent="0.3">
      <c r="A124" s="45"/>
      <c r="B124" s="45"/>
      <c r="C124" s="45"/>
      <c r="D124" s="45"/>
      <c r="E124" s="5"/>
    </row>
    <row r="125" spans="1:13" ht="19.5" customHeight="1" x14ac:dyDescent="0.3">
      <c r="A125" s="42" t="s">
        <v>144</v>
      </c>
      <c r="B125" s="42"/>
      <c r="C125" s="42"/>
      <c r="D125" s="42"/>
      <c r="E125" s="43"/>
      <c r="F125" s="43"/>
      <c r="G125" s="43"/>
      <c r="H125" s="43"/>
      <c r="I125" s="43"/>
      <c r="J125" s="43"/>
      <c r="K125" s="43"/>
      <c r="L125" s="43"/>
      <c r="M125" s="43"/>
    </row>
    <row r="126" spans="1:13" ht="19.5" customHeight="1" x14ac:dyDescent="0.3">
      <c r="A126" s="45"/>
      <c r="B126" s="45"/>
      <c r="C126" s="45"/>
      <c r="D126" s="45"/>
      <c r="E126" s="5"/>
    </row>
    <row r="127" spans="1:13" ht="19.5" customHeight="1" x14ac:dyDescent="0.3">
      <c r="A127" s="45"/>
      <c r="B127" s="45"/>
      <c r="C127" s="45"/>
      <c r="D127" s="45"/>
      <c r="E127" s="5"/>
    </row>
    <row r="128" spans="1:13" ht="19.5" customHeight="1" x14ac:dyDescent="0.3">
      <c r="A128" s="42" t="s">
        <v>145</v>
      </c>
      <c r="B128" s="42"/>
      <c r="C128" s="42"/>
      <c r="D128" s="42"/>
      <c r="E128" s="43"/>
      <c r="F128" s="43"/>
      <c r="G128" s="43"/>
      <c r="H128" s="43"/>
      <c r="I128" s="43"/>
      <c r="J128" s="43"/>
      <c r="K128" s="43"/>
      <c r="L128" s="43"/>
      <c r="M128" s="43"/>
    </row>
    <row r="129" spans="1:13" ht="19.5" customHeight="1" x14ac:dyDescent="0.3">
      <c r="A129" s="45"/>
      <c r="B129" s="45"/>
      <c r="C129" s="45"/>
      <c r="D129" s="45"/>
      <c r="E129" s="5"/>
    </row>
    <row r="130" spans="1:13" ht="19.5" customHeight="1" x14ac:dyDescent="0.3">
      <c r="A130" s="42" t="s">
        <v>146</v>
      </c>
      <c r="B130" s="42"/>
      <c r="C130" s="42"/>
      <c r="D130" s="42"/>
      <c r="E130" s="43"/>
      <c r="F130" s="43"/>
      <c r="G130" s="43"/>
      <c r="H130" s="43"/>
      <c r="I130" s="43"/>
      <c r="J130" s="43"/>
      <c r="K130" s="43"/>
      <c r="L130" s="43"/>
      <c r="M130" s="43"/>
    </row>
    <row r="131" spans="1:13" ht="19.5" customHeight="1" x14ac:dyDescent="0.3">
      <c r="A131" s="45"/>
      <c r="B131" s="45"/>
      <c r="C131" s="45"/>
      <c r="D131" s="45"/>
      <c r="E131" s="5"/>
    </row>
    <row r="132" spans="1:13" ht="19.5" customHeight="1" x14ac:dyDescent="0.3">
      <c r="A132" s="42" t="s">
        <v>147</v>
      </c>
      <c r="B132" s="42"/>
      <c r="C132" s="42"/>
      <c r="D132" s="42"/>
      <c r="E132" s="43"/>
      <c r="F132" s="43"/>
      <c r="G132" s="43"/>
      <c r="H132" s="43"/>
      <c r="I132" s="43"/>
      <c r="J132" s="43"/>
      <c r="K132" s="43"/>
      <c r="L132" s="43"/>
      <c r="M132" s="43"/>
    </row>
    <row r="133" spans="1:13" ht="19.5" customHeight="1" x14ac:dyDescent="0.3">
      <c r="A133" s="45"/>
      <c r="B133" s="45"/>
      <c r="C133" s="45"/>
      <c r="D133" s="45"/>
      <c r="E133" s="5"/>
    </row>
    <row r="134" spans="1:13" ht="19.5" customHeight="1" x14ac:dyDescent="0.3">
      <c r="A134" s="45"/>
      <c r="B134" s="45"/>
      <c r="C134" s="45"/>
      <c r="D134" s="45"/>
      <c r="E134" s="5"/>
    </row>
    <row r="135" spans="1:13" ht="19.5" customHeight="1" x14ac:dyDescent="0.3">
      <c r="A135" s="42" t="s">
        <v>148</v>
      </c>
      <c r="B135" s="42"/>
      <c r="C135" s="42"/>
      <c r="D135" s="42"/>
      <c r="E135" s="43"/>
      <c r="F135" s="43"/>
      <c r="G135" s="43"/>
      <c r="H135" s="43"/>
      <c r="I135" s="43"/>
      <c r="J135" s="43"/>
      <c r="K135" s="43"/>
      <c r="L135" s="43"/>
      <c r="M135" s="43"/>
    </row>
    <row r="136" spans="1:13" ht="19.5" customHeight="1" x14ac:dyDescent="0.3">
      <c r="A136" s="42" t="s">
        <v>149</v>
      </c>
      <c r="B136" s="42"/>
      <c r="C136" s="42"/>
      <c r="D136" s="42"/>
      <c r="E136" s="43"/>
      <c r="F136" s="43"/>
      <c r="G136" s="43"/>
      <c r="H136" s="43"/>
      <c r="I136" s="43"/>
      <c r="J136" s="43"/>
      <c r="K136" s="43"/>
      <c r="L136" s="43"/>
      <c r="M136" s="43"/>
    </row>
  </sheetData>
  <mergeCells count="303">
    <mergeCell ref="A131:D131"/>
    <mergeCell ref="A132:D132"/>
    <mergeCell ref="E132:M132"/>
    <mergeCell ref="A133:D133"/>
    <mergeCell ref="A134:D134"/>
    <mergeCell ref="A135:D135"/>
    <mergeCell ref="E135:M135"/>
    <mergeCell ref="A136:D136"/>
    <mergeCell ref="E136:M136"/>
    <mergeCell ref="A125:D125"/>
    <mergeCell ref="E125:M125"/>
    <mergeCell ref="A126:D126"/>
    <mergeCell ref="A127:D127"/>
    <mergeCell ref="A128:D128"/>
    <mergeCell ref="E128:M128"/>
    <mergeCell ref="A129:D129"/>
    <mergeCell ref="A130:D130"/>
    <mergeCell ref="E130:M130"/>
    <mergeCell ref="B119:D119"/>
    <mergeCell ref="E119:G119"/>
    <mergeCell ref="H119:I119"/>
    <mergeCell ref="L119:M119"/>
    <mergeCell ref="A121:M121"/>
    <mergeCell ref="A122:D122"/>
    <mergeCell ref="E122:M122"/>
    <mergeCell ref="A123:D123"/>
    <mergeCell ref="A124:D124"/>
    <mergeCell ref="B116:D116"/>
    <mergeCell ref="E116:G116"/>
    <mergeCell ref="H116:I116"/>
    <mergeCell ref="L116:M116"/>
    <mergeCell ref="B117:D117"/>
    <mergeCell ref="E117:G117"/>
    <mergeCell ref="H117:I117"/>
    <mergeCell ref="L117:M117"/>
    <mergeCell ref="B118:D118"/>
    <mergeCell ref="E118:G118"/>
    <mergeCell ref="H118:I118"/>
    <mergeCell ref="L118:M118"/>
    <mergeCell ref="A113:M113"/>
    <mergeCell ref="B114:D114"/>
    <mergeCell ref="E114:G114"/>
    <mergeCell ref="H114:I114"/>
    <mergeCell ref="L114:M114"/>
    <mergeCell ref="B115:D115"/>
    <mergeCell ref="E115:G115"/>
    <mergeCell ref="H115:I115"/>
    <mergeCell ref="L115:M115"/>
    <mergeCell ref="A109:D109"/>
    <mergeCell ref="E109:F109"/>
    <mergeCell ref="G109:H109"/>
    <mergeCell ref="I109:J109"/>
    <mergeCell ref="A110:D110"/>
    <mergeCell ref="E110:F110"/>
    <mergeCell ref="G110:H110"/>
    <mergeCell ref="I110:J110"/>
    <mergeCell ref="A111:D111"/>
    <mergeCell ref="E111:F111"/>
    <mergeCell ref="G111:H111"/>
    <mergeCell ref="I111:J111"/>
    <mergeCell ref="A106:D106"/>
    <mergeCell ref="E106:F106"/>
    <mergeCell ref="G106:H106"/>
    <mergeCell ref="I106:J106"/>
    <mergeCell ref="A107:D107"/>
    <mergeCell ref="E107:F107"/>
    <mergeCell ref="G107:H107"/>
    <mergeCell ref="I107:J107"/>
    <mergeCell ref="A108:D108"/>
    <mergeCell ref="E108:F108"/>
    <mergeCell ref="G108:H108"/>
    <mergeCell ref="I108:J108"/>
    <mergeCell ref="A102:B102"/>
    <mergeCell ref="C102:D102"/>
    <mergeCell ref="E102:F102"/>
    <mergeCell ref="G102:K102"/>
    <mergeCell ref="L102:M102"/>
    <mergeCell ref="A104:M104"/>
    <mergeCell ref="A105:D105"/>
    <mergeCell ref="E105:F105"/>
    <mergeCell ref="G105:H105"/>
    <mergeCell ref="I105:J105"/>
    <mergeCell ref="A100:B100"/>
    <mergeCell ref="C100:D100"/>
    <mergeCell ref="E100:F100"/>
    <mergeCell ref="G100:K100"/>
    <mergeCell ref="L100:M100"/>
    <mergeCell ref="A101:B101"/>
    <mergeCell ref="C101:D101"/>
    <mergeCell ref="E101:F101"/>
    <mergeCell ref="G101:K101"/>
    <mergeCell ref="L101:M101"/>
    <mergeCell ref="A98:B98"/>
    <mergeCell ref="C98:D98"/>
    <mergeCell ref="E98:F98"/>
    <mergeCell ref="G98:K98"/>
    <mergeCell ref="L98:M98"/>
    <mergeCell ref="A99:B99"/>
    <mergeCell ref="C99:D99"/>
    <mergeCell ref="E99:F99"/>
    <mergeCell ref="G99:K99"/>
    <mergeCell ref="L99:M99"/>
    <mergeCell ref="A96:B96"/>
    <mergeCell ref="C96:D96"/>
    <mergeCell ref="E96:F96"/>
    <mergeCell ref="G96:K96"/>
    <mergeCell ref="L96:M96"/>
    <mergeCell ref="A97:B97"/>
    <mergeCell ref="C97:D97"/>
    <mergeCell ref="E97:F97"/>
    <mergeCell ref="G97:K97"/>
    <mergeCell ref="L97:M97"/>
    <mergeCell ref="A94:B94"/>
    <mergeCell ref="C94:D94"/>
    <mergeCell ref="E94:F94"/>
    <mergeCell ref="G94:K94"/>
    <mergeCell ref="L94:M94"/>
    <mergeCell ref="A95:B95"/>
    <mergeCell ref="C95:D95"/>
    <mergeCell ref="E95:F95"/>
    <mergeCell ref="G95:K95"/>
    <mergeCell ref="L95:M95"/>
    <mergeCell ref="A91:M91"/>
    <mergeCell ref="A92:B92"/>
    <mergeCell ref="C92:D92"/>
    <mergeCell ref="E92:F92"/>
    <mergeCell ref="G92:K92"/>
    <mergeCell ref="L92:M92"/>
    <mergeCell ref="A93:B93"/>
    <mergeCell ref="C93:D93"/>
    <mergeCell ref="E93:F93"/>
    <mergeCell ref="G93:K93"/>
    <mergeCell ref="L93:M93"/>
    <mergeCell ref="B88:C88"/>
    <mergeCell ref="D88:E88"/>
    <mergeCell ref="F88:G88"/>
    <mergeCell ref="H88:I88"/>
    <mergeCell ref="J88:K88"/>
    <mergeCell ref="B89:C89"/>
    <mergeCell ref="D89:E89"/>
    <mergeCell ref="F89:G89"/>
    <mergeCell ref="H89:I89"/>
    <mergeCell ref="J89:K89"/>
    <mergeCell ref="B86:C86"/>
    <mergeCell ref="D86:E86"/>
    <mergeCell ref="F86:G86"/>
    <mergeCell ref="H86:I86"/>
    <mergeCell ref="J86:K86"/>
    <mergeCell ref="B87:C87"/>
    <mergeCell ref="D87:E87"/>
    <mergeCell ref="F87:G87"/>
    <mergeCell ref="H87:I87"/>
    <mergeCell ref="J87:K87"/>
    <mergeCell ref="B84:C84"/>
    <mergeCell ref="D84:E84"/>
    <mergeCell ref="F84:G84"/>
    <mergeCell ref="H84:I84"/>
    <mergeCell ref="J84:K84"/>
    <mergeCell ref="B85:C85"/>
    <mergeCell ref="D85:E85"/>
    <mergeCell ref="F85:G85"/>
    <mergeCell ref="H85:I85"/>
    <mergeCell ref="J85:K85"/>
    <mergeCell ref="B82:C82"/>
    <mergeCell ref="D82:E82"/>
    <mergeCell ref="F82:G82"/>
    <mergeCell ref="H82:I82"/>
    <mergeCell ref="J82:K82"/>
    <mergeCell ref="B83:C83"/>
    <mergeCell ref="D83:E83"/>
    <mergeCell ref="F83:G83"/>
    <mergeCell ref="H83:I83"/>
    <mergeCell ref="J83:K83"/>
    <mergeCell ref="B80:C80"/>
    <mergeCell ref="D80:E80"/>
    <mergeCell ref="F80:G80"/>
    <mergeCell ref="H80:I80"/>
    <mergeCell ref="J80:K80"/>
    <mergeCell ref="B81:C81"/>
    <mergeCell ref="D81:E81"/>
    <mergeCell ref="F81:G81"/>
    <mergeCell ref="H81:I81"/>
    <mergeCell ref="J81:K81"/>
    <mergeCell ref="H71:J71"/>
    <mergeCell ref="H72:J72"/>
    <mergeCell ref="H73:J73"/>
    <mergeCell ref="H74:J74"/>
    <mergeCell ref="H75:J75"/>
    <mergeCell ref="A76:F76"/>
    <mergeCell ref="A78:M78"/>
    <mergeCell ref="B79:C79"/>
    <mergeCell ref="D79:E79"/>
    <mergeCell ref="F79:G79"/>
    <mergeCell ref="H79:I79"/>
    <mergeCell ref="J79:K79"/>
    <mergeCell ref="H62:J62"/>
    <mergeCell ref="H63:J63"/>
    <mergeCell ref="H64:J64"/>
    <mergeCell ref="H65:J65"/>
    <mergeCell ref="H66:J66"/>
    <mergeCell ref="H67:J67"/>
    <mergeCell ref="H68:J68"/>
    <mergeCell ref="H69:J69"/>
    <mergeCell ref="H70:J70"/>
    <mergeCell ref="H53:J53"/>
    <mergeCell ref="H54:J54"/>
    <mergeCell ref="H55:J55"/>
    <mergeCell ref="H56:J56"/>
    <mergeCell ref="H57:J57"/>
    <mergeCell ref="H58:J58"/>
    <mergeCell ref="H59:J59"/>
    <mergeCell ref="H60:J60"/>
    <mergeCell ref="H61:J61"/>
    <mergeCell ref="H44:J44"/>
    <mergeCell ref="H45:J45"/>
    <mergeCell ref="H46:J46"/>
    <mergeCell ref="H47:J47"/>
    <mergeCell ref="H48:J48"/>
    <mergeCell ref="H49:J49"/>
    <mergeCell ref="H50:J50"/>
    <mergeCell ref="H51:J51"/>
    <mergeCell ref="H52:J52"/>
    <mergeCell ref="H35:J35"/>
    <mergeCell ref="H36:J36"/>
    <mergeCell ref="H37:J37"/>
    <mergeCell ref="H38:J38"/>
    <mergeCell ref="H39:J39"/>
    <mergeCell ref="H40:J40"/>
    <mergeCell ref="H41:J41"/>
    <mergeCell ref="H42:J42"/>
    <mergeCell ref="H43:J43"/>
    <mergeCell ref="A31:D31"/>
    <mergeCell ref="E31:F31"/>
    <mergeCell ref="H31:K31"/>
    <mergeCell ref="L31:M31"/>
    <mergeCell ref="A32:D32"/>
    <mergeCell ref="E32:F32"/>
    <mergeCell ref="H32:K32"/>
    <mergeCell ref="L32:M32"/>
    <mergeCell ref="A34:M34"/>
    <mergeCell ref="A28:M28"/>
    <mergeCell ref="A29:D29"/>
    <mergeCell ref="E29:F29"/>
    <mergeCell ref="H29:K29"/>
    <mergeCell ref="L29:M29"/>
    <mergeCell ref="A30:D30"/>
    <mergeCell ref="E30:F30"/>
    <mergeCell ref="H30:K30"/>
    <mergeCell ref="L30:M30"/>
    <mergeCell ref="A24:D24"/>
    <mergeCell ref="E24:G24"/>
    <mergeCell ref="H24:M24"/>
    <mergeCell ref="A25:D25"/>
    <mergeCell ref="E25:G25"/>
    <mergeCell ref="H25:M25"/>
    <mergeCell ref="A26:D26"/>
    <mergeCell ref="E26:G26"/>
    <mergeCell ref="H26:M26"/>
    <mergeCell ref="A21:D21"/>
    <mergeCell ref="E21:G21"/>
    <mergeCell ref="H21:M21"/>
    <mergeCell ref="A22:D22"/>
    <mergeCell ref="E22:G22"/>
    <mergeCell ref="H22:M22"/>
    <mergeCell ref="A23:D23"/>
    <mergeCell ref="E23:G23"/>
    <mergeCell ref="H23:M23"/>
    <mergeCell ref="A18:D18"/>
    <mergeCell ref="E18:G18"/>
    <mergeCell ref="H18:M18"/>
    <mergeCell ref="A19:D19"/>
    <mergeCell ref="E19:G19"/>
    <mergeCell ref="H19:M19"/>
    <mergeCell ref="A20:D20"/>
    <mergeCell ref="E20:G20"/>
    <mergeCell ref="H20:M20"/>
    <mergeCell ref="A15:D15"/>
    <mergeCell ref="E15:G15"/>
    <mergeCell ref="H15:M15"/>
    <mergeCell ref="A16:D16"/>
    <mergeCell ref="E16:G16"/>
    <mergeCell ref="H16:M16"/>
    <mergeCell ref="A17:D17"/>
    <mergeCell ref="E17:G17"/>
    <mergeCell ref="H17:M17"/>
    <mergeCell ref="A9:C9"/>
    <mergeCell ref="D9:M9"/>
    <mergeCell ref="A10:C10"/>
    <mergeCell ref="D10:M10"/>
    <mergeCell ref="A11:C11"/>
    <mergeCell ref="D11:M11"/>
    <mergeCell ref="A12:C12"/>
    <mergeCell ref="D12:M12"/>
    <mergeCell ref="A14:M14"/>
    <mergeCell ref="A2:M2"/>
    <mergeCell ref="A3:M3"/>
    <mergeCell ref="A5:M5"/>
    <mergeCell ref="A6:C6"/>
    <mergeCell ref="D6:M6"/>
    <mergeCell ref="A7:C7"/>
    <mergeCell ref="D7:M7"/>
    <mergeCell ref="A8:C8"/>
    <mergeCell ref="D8:M8"/>
  </mergeCells>
  <dataValidations count="12">
    <dataValidation type="list" allowBlank="1" sqref="E36:E75" xr:uid="{00000000-0002-0000-0300-000000000000}">
      <formula1>"Operational,Corrective CR,Requirement,Implementation,Testing,Documentation,Meeting,BD Activity"</formula1>
      <formula2>0</formula2>
    </dataValidation>
    <dataValidation type="list" allowBlank="1" sqref="F36:F75" xr:uid="{00000000-0002-0000-0300-000001000000}">
      <formula1>"ERP 7.4,SPINRISE,SPINNOVA,Internal"</formula1>
      <formula2>0</formula2>
    </dataValidation>
    <dataValidation type="list" allowBlank="1" sqref="K36:K75" xr:uid="{00000000-0002-0000-0300-000002000000}">
      <formula1>"Completed,In Progress,Pending,Carry Forward"</formula1>
      <formula2>0</formula2>
    </dataValidation>
    <dataValidation type="list" allowBlank="1" sqref="L36:L75" xr:uid="{00000000-0002-0000-0300-000003000000}">
      <formula1>"Low,Medium,High"</formula1>
      <formula2>0</formula2>
    </dataValidation>
    <dataValidation type="list" allowBlank="1" sqref="M36:M75" xr:uid="{00000000-0002-0000-0300-000004000000}">
      <formula1>"Claude,ChatGPT,Gemini,DeepSeek,Multiple,None"</formula1>
      <formula2>0</formula2>
    </dataValidation>
    <dataValidation type="list" allowBlank="1" sqref="F80:F89" xr:uid="{00000000-0002-0000-0300-000005000000}">
      <formula1>"FSD Draft,TL Review,CEO Approval,Dev In Progress,IST Testing,CEO Demo,Deployed,On Hold"</formula1>
      <formula2>0</formula2>
    </dataValidation>
    <dataValidation type="list" allowBlank="1" sqref="L80:L89" xr:uid="{00000000-0002-0000-0300-000006000000}">
      <formula1>"On Track,Delayed,Completed,Blocked,Not Started"</formula1>
      <formula2>0</formula2>
    </dataValidation>
    <dataValidation type="list" allowBlank="1" sqref="A93:A102" xr:uid="{00000000-0002-0000-0300-000007000000}">
      <formula1>"Client On-Site Visit,Remote Demo,Pre-Sales Visit,Internal Meeting,Training Session,RSD Preparation,BD Activity,Documentation"</formula1>
      <formula2>0</formula2>
    </dataValidation>
    <dataValidation type="list" allowBlank="1" sqref="L93:L102 K115:K119" xr:uid="{00000000-0002-0000-0300-000008000000}">
      <formula1>"Completed,In Progress,Planned"</formula1>
      <formula2>0</formula2>
    </dataValidation>
    <dataValidation type="list" allowBlank="1" sqref="K106:K111" xr:uid="{00000000-0002-0000-0300-000009000000}">
      <formula1>"Yes,No,Partial"</formula1>
      <formula2>0</formula2>
    </dataValidation>
    <dataValidation type="list" allowBlank="1" sqref="L106:L111" xr:uid="{00000000-0002-0000-0300-00000A000000}">
      <formula1>"Completed,Partially Submitted,Missed"</formula1>
      <formula2>0</formula2>
    </dataValidation>
    <dataValidation type="list" allowBlank="1" sqref="B115:B119" xr:uid="{00000000-0002-0000-0300-00000B000000}">
      <formula1>"AI / LLM Tools,ERP Domain – Spinning,ERP Domain – Paper Mill,SpinRise Module Knowledge,SpinNova Use Case Knowledge,ASP.NET Core / React.js,SQL Server / DB Tuning,VB6 / Legacy ERP,Certification / Course,Other"</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 HOW TO USE</vt:lpstr>
      <vt:lpstr>PM – Project Manager</vt:lpstr>
      <vt:lpstr>DEV – Developer</vt:lpstr>
      <vt:lpstr>IST – Support &amp; Testing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Natraj Abinandan</cp:lastModifiedBy>
  <cp:revision>0</cp:revision>
  <dcterms:created xsi:type="dcterms:W3CDTF">2026-05-01T15:04:38Z</dcterms:created>
  <dcterms:modified xsi:type="dcterms:W3CDTF">2026-05-04T13:00:18Z</dcterms:modified>
  <dc:language>en-US</dc:language>
</cp:coreProperties>
</file>